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Zomato Sales" sheetId="1" state="visible" r:id="rId3"/>
    <sheet name="Stor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<sst xmlns="http://schemas.openxmlformats.org/spreadsheetml/2006/main" count="443" uniqueCount="194">
  <si>
    <t xml:space="preserve">Order ID</t>
  </si>
  <si>
    <t xml:space="preserve">Store ID</t>
  </si>
  <si>
    <t xml:space="preserve">Order Date</t>
  </si>
  <si>
    <t xml:space="preserve">Cuisine</t>
  </si>
  <si>
    <t xml:space="preserve">Category</t>
  </si>
  <si>
    <t xml:space="preserve">Quantity</t>
  </si>
  <si>
    <t xml:space="preserve">Price per Item</t>
  </si>
  <si>
    <t xml:space="preserve">Discount %</t>
  </si>
  <si>
    <t xml:space="preserve">Sales Amount</t>
  </si>
  <si>
    <t xml:space="preserve">Delivery Time (min)</t>
  </si>
  <si>
    <t xml:space="preserve">Rating</t>
  </si>
  <si>
    <t xml:space="preserve">Payment Mode</t>
  </si>
  <si>
    <t xml:space="preserve">Store Name (Explicit Ref)</t>
  </si>
  <si>
    <t xml:space="preserve">Store City (Structured Ref)</t>
  </si>
  <si>
    <t xml:space="preserve">Rating Category (Nested IF)</t>
  </si>
  <si>
    <t xml:space="preserve">Order Size Tag (AND/OR)</t>
  </si>
  <si>
    <t xml:space="preserve">Price per Rating Pt (IFERROR)</t>
  </si>
  <si>
    <t xml:space="preserve">ORD1001</t>
  </si>
  <si>
    <t xml:space="preserve">STR05</t>
  </si>
  <si>
    <t xml:space="preserve">Italian</t>
  </si>
  <si>
    <t xml:space="preserve">Veg</t>
  </si>
  <si>
    <t xml:space="preserve">Wallet</t>
  </si>
  <si>
    <t xml:space="preserve">ORD1002</t>
  </si>
  <si>
    <t xml:space="preserve">STR02</t>
  </si>
  <si>
    <t xml:space="preserve">Card</t>
  </si>
  <si>
    <t xml:space="preserve">ORD1003</t>
  </si>
  <si>
    <t xml:space="preserve">STR08</t>
  </si>
  <si>
    <t xml:space="preserve">Fast Food</t>
  </si>
  <si>
    <t xml:space="preserve">Cash</t>
  </si>
  <si>
    <t xml:space="preserve">ORD1004</t>
  </si>
  <si>
    <t xml:space="preserve">STR06</t>
  </si>
  <si>
    <t xml:space="preserve">South Indian</t>
  </si>
  <si>
    <t xml:space="preserve">Non-Veg</t>
  </si>
  <si>
    <t xml:space="preserve">ORD1005</t>
  </si>
  <si>
    <t xml:space="preserve">STR12</t>
  </si>
  <si>
    <t xml:space="preserve">Mughlai</t>
  </si>
  <si>
    <t xml:space="preserve">ORD1006</t>
  </si>
  <si>
    <t xml:space="preserve">North Indian</t>
  </si>
  <si>
    <t xml:space="preserve">ORD1007</t>
  </si>
  <si>
    <t xml:space="preserve">STR11</t>
  </si>
  <si>
    <t xml:space="preserve">Chinese</t>
  </si>
  <si>
    <t xml:space="preserve">ORD1008</t>
  </si>
  <si>
    <t xml:space="preserve">STR04</t>
  </si>
  <si>
    <t xml:space="preserve">Beverages</t>
  </si>
  <si>
    <t xml:space="preserve">ORD1009</t>
  </si>
  <si>
    <t xml:space="preserve">STR01</t>
  </si>
  <si>
    <t xml:space="preserve">ORD1010</t>
  </si>
  <si>
    <t xml:space="preserve">ORD1011</t>
  </si>
  <si>
    <t xml:space="preserve">STR07</t>
  </si>
  <si>
    <t xml:space="preserve">Desserts</t>
  </si>
  <si>
    <t xml:space="preserve">UPI</t>
  </si>
  <si>
    <t xml:space="preserve">ORD1012</t>
  </si>
  <si>
    <t xml:space="preserve">ORD1013</t>
  </si>
  <si>
    <t xml:space="preserve">STR09</t>
  </si>
  <si>
    <t xml:space="preserve">ORD1014</t>
  </si>
  <si>
    <t xml:space="preserve">ORD1015</t>
  </si>
  <si>
    <t xml:space="preserve">STR03</t>
  </si>
  <si>
    <t xml:space="preserve">ORD1016</t>
  </si>
  <si>
    <t xml:space="preserve">ORD1017</t>
  </si>
  <si>
    <t xml:space="preserve">ORD1018</t>
  </si>
  <si>
    <t xml:space="preserve">ORD1019</t>
  </si>
  <si>
    <t xml:space="preserve">Biryani</t>
  </si>
  <si>
    <t xml:space="preserve">ORD1020</t>
  </si>
  <si>
    <t xml:space="preserve">ORD1021</t>
  </si>
  <si>
    <t xml:space="preserve">ORD1022</t>
  </si>
  <si>
    <t xml:space="preserve">ORD1023</t>
  </si>
  <si>
    <t xml:space="preserve">ORD1024</t>
  </si>
  <si>
    <t xml:space="preserve">ORD1025</t>
  </si>
  <si>
    <t xml:space="preserve">ORD1026</t>
  </si>
  <si>
    <t xml:space="preserve">ORD1027</t>
  </si>
  <si>
    <t xml:space="preserve">ORD1028</t>
  </si>
  <si>
    <t xml:space="preserve">Continental</t>
  </si>
  <si>
    <t xml:space="preserve">ORD1029</t>
  </si>
  <si>
    <t xml:space="preserve">ORD1030</t>
  </si>
  <si>
    <t xml:space="preserve">ORD1031</t>
  </si>
  <si>
    <t xml:space="preserve">ORD1032</t>
  </si>
  <si>
    <t xml:space="preserve">STR10</t>
  </si>
  <si>
    <t xml:space="preserve">ORD1033</t>
  </si>
  <si>
    <t xml:space="preserve">ORD1034</t>
  </si>
  <si>
    <t xml:space="preserve">ORD1035</t>
  </si>
  <si>
    <t xml:space="preserve">ORD1036</t>
  </si>
  <si>
    <t xml:space="preserve">ORD1037</t>
  </si>
  <si>
    <t xml:space="preserve">ORD1038</t>
  </si>
  <si>
    <t xml:space="preserve">ORD1039</t>
  </si>
  <si>
    <t xml:space="preserve">ORD1040</t>
  </si>
  <si>
    <t xml:space="preserve">ORD1041</t>
  </si>
  <si>
    <t xml:space="preserve">ORD1042</t>
  </si>
  <si>
    <t xml:space="preserve">ORD1043</t>
  </si>
  <si>
    <t xml:space="preserve">ORD1044</t>
  </si>
  <si>
    <t xml:space="preserve">ORD1045</t>
  </si>
  <si>
    <t xml:space="preserve">ORD1046</t>
  </si>
  <si>
    <t xml:space="preserve">ORD1047</t>
  </si>
  <si>
    <t xml:space="preserve">ORD1048</t>
  </si>
  <si>
    <t xml:space="preserve">ORD1049</t>
  </si>
  <si>
    <t xml:space="preserve">ORD1050</t>
  </si>
  <si>
    <t xml:space="preserve">FORMULA LEARNING ZONE  -  Zomato Sales Data</t>
  </si>
  <si>
    <t xml:space="preserve">1. EXPLICIT vs STRUCTURED REFERENCES</t>
  </si>
  <si>
    <t xml:space="preserve">Explicit references point to fixed cell ranges (A2:A51). Structured references point to Table column names (TableName[Column]) and auto-expand when rows are added.</t>
  </si>
  <si>
    <t xml:space="preserve">Description</t>
  </si>
  <si>
    <t xml:space="preserve">Reference Type</t>
  </si>
  <si>
    <t xml:space="preserve">Formula</t>
  </si>
  <si>
    <t xml:space="preserve">Result</t>
  </si>
  <si>
    <t xml:space="preserve">Total Sales Amount</t>
  </si>
  <si>
    <t xml:space="preserve">Explicit Reference</t>
  </si>
  <si>
    <t xml:space="preserve">=SUM(I2:I51)</t>
  </si>
  <si>
    <t xml:space="preserve">Structured Reference</t>
  </si>
  <si>
    <t xml:space="preserve">=SUM(ZomatoSalesTbl[Sales Amount])</t>
  </si>
  <si>
    <t xml:space="preserve">Average Quantity per Order</t>
  </si>
  <si>
    <t xml:space="preserve">=AVERAGE(F2:F51)</t>
  </si>
  <si>
    <t xml:space="preserve">=AVERAGE(ZomatoSalesTbl[Quantity])</t>
  </si>
  <si>
    <t xml:space="preserve">2. COUNTING FUNCTIONS</t>
  </si>
  <si>
    <t xml:space="preserve">COUNT - numeric Rating cells only</t>
  </si>
  <si>
    <t xml:space="preserve">=COUNT(K2:K51)</t>
  </si>
  <si>
    <t xml:space="preserve">COUNTA - all non-empty Order IDs</t>
  </si>
  <si>
    <t xml:space="preserve">=COUNTA(A2:A51)</t>
  </si>
  <si>
    <t xml:space="preserve">COUNTBLANK - unrated orders</t>
  </si>
  <si>
    <t xml:space="preserve">=COUNTBLANK(K2:K51)</t>
  </si>
  <si>
    <t xml:space="preserve">COUNTIF - Veg orders only</t>
  </si>
  <si>
    <t xml:space="preserve">=COUNTIF(E2:E51,"Veg")</t>
  </si>
  <si>
    <t xml:space="preserve">COUNTIFS - Veg orders paid via UPI</t>
  </si>
  <si>
    <t xml:space="preserve">=COUNTIFS(E2:E51,"Veg",L2:L51,"UPI")</t>
  </si>
  <si>
    <t xml:space="preserve">3. SORT and UNIQUE  (Excel 365 / 2021 Dynamic Array Functions)</t>
  </si>
  <si>
    <t xml:space="preserve">These are modern spilling formulas available in Excel 365/2021+. This classroom file is checked with an older engine that cannot preview spilled arrays, so the exact formula text is shown plus the expected output. Type the formula into cell shown in Excel 365 to see it spill live.</t>
  </si>
  <si>
    <t xml:space="preserve">Type formula into cell D77 in Excel 365:</t>
  </si>
  <si>
    <t xml:space="preserve">Formula:</t>
  </si>
  <si>
    <t xml:space="preserve">=UNIQUE(D2:D51)</t>
  </si>
  <si>
    <t xml:space="preserve">Expected spilled result (unique cuisine list):</t>
  </si>
  <si>
    <t xml:space="preserve">=SORT(UNIQUE(L2:L51))</t>
  </si>
  <si>
    <t xml:space="preserve">Expected spilled result (sorted unique payment modes):</t>
  </si>
  <si>
    <t xml:space="preserve">4. LOGICAL FUNCTIONS  (IF, Nested IF, AND/OR, IFERROR)</t>
  </si>
  <si>
    <t xml:space="preserve">Live per-row examples are already built into the main table: column O = Nested IF, column P = AND / OR, column Q = IFERROR. Below is one combined portfolio-level example.</t>
  </si>
  <si>
    <t xml:space="preserve">Is the business Veg-favored AND well rated? (Nested logic: COUNTIF + AND + IF)</t>
  </si>
  <si>
    <t xml:space="preserve">=IF(AND(COUNTIF(E2:E51,"Veg")&gt;COUNTIF(E2:E51,"Non-Veg"),AVERAGE(K2:K51)&gt;=4),"Veg-Favored &amp; Well Rated","Mixed Performance")</t>
  </si>
  <si>
    <t xml:space="preserve">5. GROUPBY and PIVOTBY  (Excel 365) + Classic Equivalent (SUMIFS / COUNTIFS)</t>
  </si>
  <si>
    <t xml:space="preserve">GROUPBY and PIVOTBY are the newest Excel 365 functions for building summaries without a PivotTable. They are shown below as formula text. The live tables next to them build the same summary using SUMIFS/COUNTIFS/AVERAGEIFS, which work in every Excel version.</t>
  </si>
  <si>
    <t xml:space="preserve">GROUPBY formula (Excel 365):</t>
  </si>
  <si>
    <t xml:space="preserve">=GROUPBY(D2:D51,I2:I51,SUM)</t>
  </si>
  <si>
    <t xml:space="preserve">Live classic equivalent - Sales grouped by Cuisine:</t>
  </si>
  <si>
    <t xml:space="preserve">Total Sales</t>
  </si>
  <si>
    <t xml:space="preserve">Order Count</t>
  </si>
  <si>
    <t xml:space="preserve">PIVOTBY formula (Excel 365):</t>
  </si>
  <si>
    <t xml:space="preserve">=PIVOTBY(M2:M51,D2:D51,I2:I51,SUM)</t>
  </si>
  <si>
    <t xml:space="preserve">Live classic equivalent - Sales summary by Store:</t>
  </si>
  <si>
    <t xml:space="preserve">Store Name</t>
  </si>
  <si>
    <t xml:space="preserve">Avg Rating</t>
  </si>
  <si>
    <t xml:space="preserve">Zomato - Mumbai Store</t>
  </si>
  <si>
    <t xml:space="preserve">Zomato - Delhi Store</t>
  </si>
  <si>
    <t xml:space="preserve">Zomato - Bangalore Store</t>
  </si>
  <si>
    <t xml:space="preserve">Zomato - Pune Store</t>
  </si>
  <si>
    <t xml:space="preserve">Zomato - Hyderabad Store</t>
  </si>
  <si>
    <t xml:space="preserve">Zomato - Chennai Store</t>
  </si>
  <si>
    <t xml:space="preserve">Zomato - Kolkata Store</t>
  </si>
  <si>
    <t xml:space="preserve">Zomato - Ahmedabad Store</t>
  </si>
  <si>
    <t xml:space="preserve">Zomato - Jaipur Store</t>
  </si>
  <si>
    <t xml:space="preserve">Zomato - Lucknow Store</t>
  </si>
  <si>
    <t xml:space="preserve">Zomato - Chandigarh Store</t>
  </si>
  <si>
    <t xml:space="preserve">Zomato - Indore Store</t>
  </si>
  <si>
    <t xml:space="preserve">City</t>
  </si>
  <si>
    <t xml:space="preserve">Region</t>
  </si>
  <si>
    <t xml:space="preserve">Manager Name</t>
  </si>
  <si>
    <t xml:space="preserve">Store Type</t>
  </si>
  <si>
    <t xml:space="preserve">Onboarded Year</t>
  </si>
  <si>
    <t xml:space="preserve">Mumbai</t>
  </si>
  <si>
    <t xml:space="preserve">West</t>
  </si>
  <si>
    <t xml:space="preserve">Rohan Mehta</t>
  </si>
  <si>
    <t xml:space="preserve">Cloud Kitchen</t>
  </si>
  <si>
    <t xml:space="preserve">Delhi</t>
  </si>
  <si>
    <t xml:space="preserve">North</t>
  </si>
  <si>
    <t xml:space="preserve">Priya Sharma</t>
  </si>
  <si>
    <t xml:space="preserve">Dine-in</t>
  </si>
  <si>
    <t xml:space="preserve">Bangalore</t>
  </si>
  <si>
    <t xml:space="preserve">South</t>
  </si>
  <si>
    <t xml:space="preserve">Aditya Rao</t>
  </si>
  <si>
    <t xml:space="preserve">Both</t>
  </si>
  <si>
    <t xml:space="preserve">Pune</t>
  </si>
  <si>
    <t xml:space="preserve">Sneha Kulkarni</t>
  </si>
  <si>
    <t xml:space="preserve">Hyderabad</t>
  </si>
  <si>
    <t xml:space="preserve">Kabir Singh</t>
  </si>
  <si>
    <t xml:space="preserve">Chennai</t>
  </si>
  <si>
    <t xml:space="preserve">Anjali Nair</t>
  </si>
  <si>
    <t xml:space="preserve">Kolkata</t>
  </si>
  <si>
    <t xml:space="preserve">East</t>
  </si>
  <si>
    <t xml:space="preserve">Vikram Joshi</t>
  </si>
  <si>
    <t xml:space="preserve">Ahmedabad</t>
  </si>
  <si>
    <t xml:space="preserve">Neha Gupta</t>
  </si>
  <si>
    <t xml:space="preserve">Jaipur</t>
  </si>
  <si>
    <t xml:space="preserve">Arjun Reddy</t>
  </si>
  <si>
    <t xml:space="preserve">Lucknow</t>
  </si>
  <si>
    <t xml:space="preserve">Divya Menon</t>
  </si>
  <si>
    <t xml:space="preserve">Chandigarh</t>
  </si>
  <si>
    <t xml:space="preserve">Karan Malhotra</t>
  </si>
  <si>
    <t xml:space="preserve">Indore</t>
  </si>
  <si>
    <t xml:space="preserve">Central</t>
  </si>
  <si>
    <t xml:space="preserve">Ritu Verma</t>
  </si>
</sst>
</file>

<file path=xl/styles.xml><?xml version="1.0" encoding="utf-8"?>
<styleSheet xmlns="http://schemas.openxmlformats.org/spreadsheetml/2006/main">
  <numFmts count="7">
    <numFmt numFmtId="164" formatCode="General"/>
    <numFmt numFmtId="165" formatCode="dd\-mmm\-yyyy"/>
    <numFmt numFmtId="166" formatCode="\₹#,##0"/>
    <numFmt numFmtId="167" formatCode="0%"/>
    <numFmt numFmtId="168" formatCode="\₹#,##0.00"/>
    <numFmt numFmtId="169" formatCode="0.00"/>
    <numFmt numFmtId="170"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5"/>
      <name val="Arial"/>
      <family val="0"/>
      <charset val="1"/>
    </font>
    <font>
      <b val="true"/>
      <sz val="12"/>
      <color rgb="FFFFFFFF"/>
      <name val="Arial"/>
      <family val="0"/>
      <charset val="1"/>
    </font>
    <font>
      <b val="true"/>
      <sz val="10.5"/>
      <color rgb="FF1F4E78"/>
      <name val="Arial"/>
      <family val="0"/>
      <charset val="1"/>
    </font>
    <font>
      <i val="true"/>
      <sz val="9.5"/>
      <color rgb="FF7F7F7F"/>
      <name val="Arial"/>
      <family val="0"/>
      <charset val="1"/>
    </font>
    <font>
      <i val="true"/>
      <sz val="10.5"/>
      <color rgb="FFC00000"/>
      <name val="Arial"/>
      <family val="0"/>
      <charset val="1"/>
    </font>
  </fonts>
  <fills count="5">
    <fill>
      <patternFill patternType="none"/>
    </fill>
    <fill>
      <patternFill patternType="gray125"/>
    </fill>
    <fill>
      <patternFill patternType="solid">
        <fgColor rgb="FFC00000"/>
        <bgColor rgb="FF800000"/>
      </patternFill>
    </fill>
    <fill>
      <patternFill patternType="solid">
        <fgColor rgb="FF1F4E78"/>
        <bgColor rgb="FF003366"/>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4"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C00000"/>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StoresTbl" displayName="StoresTbl" ref="A1:G13" headerRowCount="1" totalsRowCount="0" totalsRowShown="0">
  <autoFilter ref="A1:G13"/>
  <tableColumns count="7">
    <tableColumn id="1" name="Store ID"/>
    <tableColumn id="2" name="Store Name"/>
    <tableColumn id="3" name="City"/>
    <tableColumn id="4" name="Region"/>
    <tableColumn id="5" name="Manager Name"/>
    <tableColumn id="6" name="Store Type"/>
    <tableColumn id="7" name="Onboarded Year"/>
  </tableColumns>
</table>
</file>

<file path=xl/tables/table2.xml><?xml version="1.0" encoding="utf-8"?>
<table xmlns="http://schemas.openxmlformats.org/spreadsheetml/2006/main" id="2" name="ZomatoSalesTbl" displayName="ZomatoSalesTbl" ref="A1:Q51" headerRowCount="1" totalsRowCount="0" totalsRowShown="0">
  <autoFilter ref="A1:Q51"/>
  <tableColumns count="17">
    <tableColumn id="1" name="Order ID"/>
    <tableColumn id="2" name="Store ID"/>
    <tableColumn id="3" name="Order Date"/>
    <tableColumn id="4" name="Cuisine"/>
    <tableColumn id="5" name="Category"/>
    <tableColumn id="6" name="Quantity"/>
    <tableColumn id="7" name="Price per Item"/>
    <tableColumn id="8" name="Discount %"/>
    <tableColumn id="9" name="Sales Amount"/>
    <tableColumn id="10" name="Delivery Time (min)"/>
    <tableColumn id="11" name="Rating"/>
    <tableColumn id="12" name="Payment Mode"/>
    <tableColumn id="13" name="Store Name (Explicit Ref)"/>
    <tableColumn id="14" name="Store City (Structured Ref)"/>
    <tableColumn id="15" name="Rating Category (Nested IF)"/>
    <tableColumn id="16" name="Order Size Tag (AND/OR)"/>
    <tableColumn id="17" name="Price per Rating Pt (IFERRO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Q1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13"/>
    <col collapsed="false" customWidth="true" hidden="false" outlineLevel="0" max="4" min="4" style="0" width="14"/>
    <col collapsed="false" customWidth="true" hidden="false" outlineLevel="0" max="6" min="5" style="0" width="10"/>
    <col collapsed="false" customWidth="true" hidden="false" outlineLevel="0" max="7" min="7" style="0" width="13"/>
    <col collapsed="false" customWidth="true" hidden="false" outlineLevel="0" max="8" min="8" style="0" width="11"/>
    <col collapsed="false" customWidth="true" hidden="false" outlineLevel="0" max="9" min="9" style="0" width="13"/>
    <col collapsed="false" customWidth="true" hidden="false" outlineLevel="0" max="10" min="10" style="0" width="12"/>
    <col collapsed="false" customWidth="true" hidden="false" outlineLevel="0" max="11" min="11" style="0" width="9"/>
    <col collapsed="false" customWidth="true" hidden="false" outlineLevel="0" max="12" min="12" style="0" width="13"/>
    <col collapsed="false" customWidth="true" hidden="false" outlineLevel="0" max="14" min="13" style="0" width="22"/>
    <col collapsed="false" customWidth="true" hidden="false" outlineLevel="0" max="17" min="15" style="0" width="20"/>
  </cols>
  <sheetData>
    <row r="1" customFormat="false" ht="39.5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s">
        <v>17</v>
      </c>
      <c r="B2" s="2" t="s">
        <v>18</v>
      </c>
      <c r="C2" s="3" t="n">
        <v>45720</v>
      </c>
      <c r="D2" s="2" t="s">
        <v>19</v>
      </c>
      <c r="E2" s="2" t="s">
        <v>20</v>
      </c>
      <c r="F2" s="2" t="n">
        <v>6</v>
      </c>
      <c r="G2" s="4" t="n">
        <v>129</v>
      </c>
      <c r="H2" s="5" t="n">
        <v>0.2</v>
      </c>
      <c r="I2" s="4" t="n">
        <f aca="false">F2*G2*(1-H2)</f>
        <v>619.2</v>
      </c>
      <c r="J2" s="2" t="n">
        <v>20</v>
      </c>
      <c r="K2" s="2" t="n">
        <v>2.1</v>
      </c>
      <c r="L2" s="2" t="s">
        <v>21</v>
      </c>
      <c r="M2" s="6" t="str">
        <f aca="false">INDEX(Stores!$B$2:$B$13,MATCH(B2,Stores!$A$2:$A$13,0))</f>
        <v>Zomato - Hyderabad Store</v>
      </c>
      <c r="N2" s="6" t="str">
        <f aca="false">INDEX(StoresTbl[City],MATCH(B2,StoresTbl[Store ID],0))</f>
        <v>Hyderabad</v>
      </c>
      <c r="O2" s="6" t="str">
        <f aca="false">IF(K2="","Not Rated",IF(K2&gt;=4.5,"Excellent",IF(K2&gt;=3.5,"Good",IF(K2&gt;=2.5,"Average","Poor"))))</f>
        <v>Poor</v>
      </c>
      <c r="P2" s="6" t="str">
        <f aca="false">IF(AND(F2&gt;=3,H2&gt;=0.1),"Bulk &amp; Discounted",IF(OR(F2&gt;=5,I2&gt;800),"Large Order","Standard Order"))</f>
        <v>Bulk &amp; Discounted</v>
      </c>
      <c r="Q2" s="6" t="n">
        <f aca="false">IFERROR(G2/K2,"No Rating Yet")</f>
        <v>61.4285714285714</v>
      </c>
    </row>
    <row r="3" customFormat="false" ht="15" hidden="false" customHeight="false" outlineLevel="0" collapsed="false">
      <c r="A3" s="2" t="s">
        <v>22</v>
      </c>
      <c r="B3" s="2" t="s">
        <v>23</v>
      </c>
      <c r="C3" s="3" t="n">
        <v>45713</v>
      </c>
      <c r="D3" s="2" t="s">
        <v>19</v>
      </c>
      <c r="E3" s="2" t="s">
        <v>20</v>
      </c>
      <c r="F3" s="2" t="n">
        <v>5</v>
      </c>
      <c r="G3" s="4" t="n">
        <v>179</v>
      </c>
      <c r="H3" s="5" t="n">
        <v>0.2</v>
      </c>
      <c r="I3" s="4" t="n">
        <f aca="false">F3*G3*(1-H3)</f>
        <v>716</v>
      </c>
      <c r="J3" s="2" t="n">
        <v>41</v>
      </c>
      <c r="K3" s="2"/>
      <c r="L3" s="2" t="s">
        <v>24</v>
      </c>
      <c r="M3" s="6" t="str">
        <f aca="false">INDEX(Stores!$B$2:$B$13,MATCH(B3,Stores!$A$2:$A$13,0))</f>
        <v>Zomato - Delhi Store</v>
      </c>
      <c r="N3" s="6" t="str">
        <f aca="false">INDEX(StoresTbl[City],MATCH(B3,StoresTbl[Store ID],0))</f>
        <v>Delhi</v>
      </c>
      <c r="O3" s="6" t="str">
        <f aca="false">IF(K3="","Not Rated",IF(K3&gt;=4.5,"Excellent",IF(K3&gt;=3.5,"Good",IF(K3&gt;=2.5,"Average","Poor"))))</f>
        <v>Not Rated</v>
      </c>
      <c r="P3" s="6" t="str">
        <f aca="false">IF(AND(F3&gt;=3,H3&gt;=0.1),"Bulk &amp; Discounted",IF(OR(F3&gt;=5,I3&gt;800),"Large Order","Standard Order"))</f>
        <v>Bulk &amp; Discounted</v>
      </c>
      <c r="Q3" s="6" t="str">
        <f aca="false">IFERROR(G3/K3,"No Rating Yet")</f>
        <v>No Rating Yet</v>
      </c>
    </row>
    <row r="4" customFormat="false" ht="15" hidden="false" customHeight="false" outlineLevel="0" collapsed="false">
      <c r="A4" s="2" t="s">
        <v>25</v>
      </c>
      <c r="B4" s="2" t="s">
        <v>26</v>
      </c>
      <c r="C4" s="3" t="n">
        <v>45808</v>
      </c>
      <c r="D4" s="2" t="s">
        <v>27</v>
      </c>
      <c r="E4" s="2" t="s">
        <v>20</v>
      </c>
      <c r="F4" s="2" t="n">
        <v>2</v>
      </c>
      <c r="G4" s="4" t="n">
        <v>449</v>
      </c>
      <c r="H4" s="5" t="n">
        <v>0.15</v>
      </c>
      <c r="I4" s="4" t="n">
        <f aca="false">F4*G4*(1-H4)</f>
        <v>763.3</v>
      </c>
      <c r="J4" s="2" t="n">
        <v>36</v>
      </c>
      <c r="K4" s="2" t="n">
        <v>2.5</v>
      </c>
      <c r="L4" s="2" t="s">
        <v>28</v>
      </c>
      <c r="M4" s="6" t="str">
        <f aca="false">INDEX(Stores!$B$2:$B$13,MATCH(B4,Stores!$A$2:$A$13,0))</f>
        <v>Zomato - Ahmedabad Store</v>
      </c>
      <c r="N4" s="6" t="str">
        <f aca="false">INDEX(StoresTbl[City],MATCH(B4,StoresTbl[Store ID],0))</f>
        <v>Ahmedabad</v>
      </c>
      <c r="O4" s="6" t="str">
        <f aca="false">IF(K4="","Not Rated",IF(K4&gt;=4.5,"Excellent",IF(K4&gt;=3.5,"Good",IF(K4&gt;=2.5,"Average","Poor"))))</f>
        <v>Average</v>
      </c>
      <c r="P4" s="6" t="str">
        <f aca="false">IF(AND(F4&gt;=3,H4&gt;=0.1),"Bulk &amp; Discounted",IF(OR(F4&gt;=5,I4&gt;800),"Large Order","Standard Order"))</f>
        <v>Standard Order</v>
      </c>
      <c r="Q4" s="6" t="n">
        <f aca="false">IFERROR(G4/K4,"No Rating Yet")</f>
        <v>179.6</v>
      </c>
    </row>
    <row r="5" customFormat="false" ht="15" hidden="false" customHeight="false" outlineLevel="0" collapsed="false">
      <c r="A5" s="2" t="s">
        <v>29</v>
      </c>
      <c r="B5" s="2" t="s">
        <v>30</v>
      </c>
      <c r="C5" s="3" t="n">
        <v>45684</v>
      </c>
      <c r="D5" s="2" t="s">
        <v>31</v>
      </c>
      <c r="E5" s="2" t="s">
        <v>32</v>
      </c>
      <c r="F5" s="2" t="n">
        <v>1</v>
      </c>
      <c r="G5" s="4" t="n">
        <v>229</v>
      </c>
      <c r="H5" s="5" t="n">
        <v>0.1</v>
      </c>
      <c r="I5" s="4" t="n">
        <f aca="false">F5*G5*(1-H5)</f>
        <v>206.1</v>
      </c>
      <c r="J5" s="2" t="n">
        <v>53</v>
      </c>
      <c r="K5" s="2" t="n">
        <v>4.4</v>
      </c>
      <c r="L5" s="2" t="s">
        <v>28</v>
      </c>
      <c r="M5" s="6" t="str">
        <f aca="false">INDEX(Stores!$B$2:$B$13,MATCH(B5,Stores!$A$2:$A$13,0))</f>
        <v>Zomato - Chennai Store</v>
      </c>
      <c r="N5" s="6" t="str">
        <f aca="false">INDEX(StoresTbl[City],MATCH(B5,StoresTbl[Store ID],0))</f>
        <v>Chennai</v>
      </c>
      <c r="O5" s="6" t="str">
        <f aca="false">IF(K5="","Not Rated",IF(K5&gt;=4.5,"Excellent",IF(K5&gt;=3.5,"Good",IF(K5&gt;=2.5,"Average","Poor"))))</f>
        <v>Good</v>
      </c>
      <c r="P5" s="6" t="str">
        <f aca="false">IF(AND(F5&gt;=3,H5&gt;=0.1),"Bulk &amp; Discounted",IF(OR(F5&gt;=5,I5&gt;800),"Large Order","Standard Order"))</f>
        <v>Standard Order</v>
      </c>
      <c r="Q5" s="6" t="n">
        <f aca="false">IFERROR(G5/K5,"No Rating Yet")</f>
        <v>52.0454545454545</v>
      </c>
    </row>
    <row r="6" customFormat="false" ht="15" hidden="false" customHeight="false" outlineLevel="0" collapsed="false">
      <c r="A6" s="2" t="s">
        <v>33</v>
      </c>
      <c r="B6" s="2" t="s">
        <v>34</v>
      </c>
      <c r="C6" s="3" t="n">
        <v>45775</v>
      </c>
      <c r="D6" s="2" t="s">
        <v>35</v>
      </c>
      <c r="E6" s="2" t="s">
        <v>20</v>
      </c>
      <c r="F6" s="2" t="n">
        <v>4</v>
      </c>
      <c r="G6" s="4" t="n">
        <v>129</v>
      </c>
      <c r="H6" s="5" t="n">
        <v>0.2</v>
      </c>
      <c r="I6" s="4" t="n">
        <f aca="false">F6*G6*(1-H6)</f>
        <v>412.8</v>
      </c>
      <c r="J6" s="2" t="n">
        <v>33</v>
      </c>
      <c r="K6" s="2" t="n">
        <v>3.7</v>
      </c>
      <c r="L6" s="2" t="s">
        <v>28</v>
      </c>
      <c r="M6" s="6" t="str">
        <f aca="false">INDEX(Stores!$B$2:$B$13,MATCH(B6,Stores!$A$2:$A$13,0))</f>
        <v>Zomato - Indore Store</v>
      </c>
      <c r="N6" s="6" t="str">
        <f aca="false">INDEX(StoresTbl[City],MATCH(B6,StoresTbl[Store ID],0))</f>
        <v>Indore</v>
      </c>
      <c r="O6" s="6" t="str">
        <f aca="false">IF(K6="","Not Rated",IF(K6&gt;=4.5,"Excellent",IF(K6&gt;=3.5,"Good",IF(K6&gt;=2.5,"Average","Poor"))))</f>
        <v>Good</v>
      </c>
      <c r="P6" s="6" t="str">
        <f aca="false">IF(AND(F6&gt;=3,H6&gt;=0.1),"Bulk &amp; Discounted",IF(OR(F6&gt;=5,I6&gt;800),"Large Order","Standard Order"))</f>
        <v>Bulk &amp; Discounted</v>
      </c>
      <c r="Q6" s="6" t="n">
        <f aca="false">IFERROR(G6/K6,"No Rating Yet")</f>
        <v>34.8648648648649</v>
      </c>
    </row>
    <row r="7" customFormat="false" ht="15" hidden="false" customHeight="false" outlineLevel="0" collapsed="false">
      <c r="A7" s="2" t="s">
        <v>36</v>
      </c>
      <c r="B7" s="2" t="s">
        <v>34</v>
      </c>
      <c r="C7" s="3" t="n">
        <v>45675</v>
      </c>
      <c r="D7" s="2" t="s">
        <v>37</v>
      </c>
      <c r="E7" s="2" t="s">
        <v>20</v>
      </c>
      <c r="F7" s="2" t="n">
        <v>3</v>
      </c>
      <c r="G7" s="4" t="n">
        <v>129</v>
      </c>
      <c r="H7" s="5" t="n">
        <v>0.05</v>
      </c>
      <c r="I7" s="4" t="n">
        <f aca="false">F7*G7*(1-H7)</f>
        <v>367.65</v>
      </c>
      <c r="J7" s="2" t="n">
        <v>21</v>
      </c>
      <c r="K7" s="2" t="n">
        <v>2.8</v>
      </c>
      <c r="L7" s="2" t="s">
        <v>21</v>
      </c>
      <c r="M7" s="6" t="str">
        <f aca="false">INDEX(Stores!$B$2:$B$13,MATCH(B7,Stores!$A$2:$A$13,0))</f>
        <v>Zomato - Indore Store</v>
      </c>
      <c r="N7" s="6" t="str">
        <f aca="false">INDEX(StoresTbl[City],MATCH(B7,StoresTbl[Store ID],0))</f>
        <v>Indore</v>
      </c>
      <c r="O7" s="6" t="str">
        <f aca="false">IF(K7="","Not Rated",IF(K7&gt;=4.5,"Excellent",IF(K7&gt;=3.5,"Good",IF(K7&gt;=2.5,"Average","Poor"))))</f>
        <v>Average</v>
      </c>
      <c r="P7" s="6" t="str">
        <f aca="false">IF(AND(F7&gt;=3,H7&gt;=0.1),"Bulk &amp; Discounted",IF(OR(F7&gt;=5,I7&gt;800),"Large Order","Standard Order"))</f>
        <v>Standard Order</v>
      </c>
      <c r="Q7" s="6" t="n">
        <f aca="false">IFERROR(G7/K7,"No Rating Yet")</f>
        <v>46.0714285714286</v>
      </c>
    </row>
    <row r="8" customFormat="false" ht="15" hidden="false" customHeight="false" outlineLevel="0" collapsed="false">
      <c r="A8" s="2" t="s">
        <v>38</v>
      </c>
      <c r="B8" s="2" t="s">
        <v>39</v>
      </c>
      <c r="C8" s="3" t="n">
        <v>45751</v>
      </c>
      <c r="D8" s="2" t="s">
        <v>40</v>
      </c>
      <c r="E8" s="2" t="s">
        <v>32</v>
      </c>
      <c r="F8" s="2" t="n">
        <v>3</v>
      </c>
      <c r="G8" s="4" t="n">
        <v>179</v>
      </c>
      <c r="H8" s="5" t="n">
        <v>0.1</v>
      </c>
      <c r="I8" s="4" t="n">
        <f aca="false">F8*G8*(1-H8)</f>
        <v>483.3</v>
      </c>
      <c r="J8" s="2" t="n">
        <v>19</v>
      </c>
      <c r="K8" s="2" t="n">
        <v>3.6</v>
      </c>
      <c r="L8" s="2" t="s">
        <v>24</v>
      </c>
      <c r="M8" s="6" t="str">
        <f aca="false">INDEX(Stores!$B$2:$B$13,MATCH(B8,Stores!$A$2:$A$13,0))</f>
        <v>Zomato - Chandigarh Store</v>
      </c>
      <c r="N8" s="6" t="str">
        <f aca="false">INDEX(StoresTbl[City],MATCH(B8,StoresTbl[Store ID],0))</f>
        <v>Chandigarh</v>
      </c>
      <c r="O8" s="6" t="str">
        <f aca="false">IF(K8="","Not Rated",IF(K8&gt;=4.5,"Excellent",IF(K8&gt;=3.5,"Good",IF(K8&gt;=2.5,"Average","Poor"))))</f>
        <v>Good</v>
      </c>
      <c r="P8" s="6" t="str">
        <f aca="false">IF(AND(F8&gt;=3,H8&gt;=0.1),"Bulk &amp; Discounted",IF(OR(F8&gt;=5,I8&gt;800),"Large Order","Standard Order"))</f>
        <v>Bulk &amp; Discounted</v>
      </c>
      <c r="Q8" s="6" t="n">
        <f aca="false">IFERROR(G8/K8,"No Rating Yet")</f>
        <v>49.7222222222222</v>
      </c>
    </row>
    <row r="9" customFormat="false" ht="15" hidden="false" customHeight="false" outlineLevel="0" collapsed="false">
      <c r="A9" s="2" t="s">
        <v>41</v>
      </c>
      <c r="B9" s="2" t="s">
        <v>42</v>
      </c>
      <c r="C9" s="3" t="n">
        <v>45699</v>
      </c>
      <c r="D9" s="2" t="s">
        <v>43</v>
      </c>
      <c r="E9" s="2" t="s">
        <v>32</v>
      </c>
      <c r="F9" s="2" t="n">
        <v>3</v>
      </c>
      <c r="G9" s="4" t="n">
        <v>399</v>
      </c>
      <c r="H9" s="5" t="n">
        <v>0.2</v>
      </c>
      <c r="I9" s="4" t="n">
        <f aca="false">F9*G9*(1-H9)</f>
        <v>957.6</v>
      </c>
      <c r="J9" s="2" t="n">
        <v>29</v>
      </c>
      <c r="K9" s="2"/>
      <c r="L9" s="2" t="s">
        <v>28</v>
      </c>
      <c r="M9" s="6" t="str">
        <f aca="false">INDEX(Stores!$B$2:$B$13,MATCH(B9,Stores!$A$2:$A$13,0))</f>
        <v>Zomato - Pune Store</v>
      </c>
      <c r="N9" s="6" t="str">
        <f aca="false">INDEX(StoresTbl[City],MATCH(B9,StoresTbl[Store ID],0))</f>
        <v>Pune</v>
      </c>
      <c r="O9" s="6" t="str">
        <f aca="false">IF(K9="","Not Rated",IF(K9&gt;=4.5,"Excellent",IF(K9&gt;=3.5,"Good",IF(K9&gt;=2.5,"Average","Poor"))))</f>
        <v>Not Rated</v>
      </c>
      <c r="P9" s="6" t="str">
        <f aca="false">IF(AND(F9&gt;=3,H9&gt;=0.1),"Bulk &amp; Discounted",IF(OR(F9&gt;=5,I9&gt;800),"Large Order","Standard Order"))</f>
        <v>Bulk &amp; Discounted</v>
      </c>
      <c r="Q9" s="6" t="str">
        <f aca="false">IFERROR(G9/K9,"No Rating Yet")</f>
        <v>No Rating Yet</v>
      </c>
    </row>
    <row r="10" customFormat="false" ht="15" hidden="false" customHeight="false" outlineLevel="0" collapsed="false">
      <c r="A10" s="2" t="s">
        <v>44</v>
      </c>
      <c r="B10" s="2" t="s">
        <v>45</v>
      </c>
      <c r="C10" s="3" t="n">
        <v>45716</v>
      </c>
      <c r="D10" s="2" t="s">
        <v>37</v>
      </c>
      <c r="E10" s="2" t="s">
        <v>32</v>
      </c>
      <c r="F10" s="2" t="n">
        <v>4</v>
      </c>
      <c r="G10" s="4" t="n">
        <v>199</v>
      </c>
      <c r="H10" s="5" t="n">
        <v>0</v>
      </c>
      <c r="I10" s="4" t="n">
        <f aca="false">F10*G10*(1-H10)</f>
        <v>796</v>
      </c>
      <c r="J10" s="2" t="n">
        <v>28</v>
      </c>
      <c r="K10" s="2" t="n">
        <v>2.6</v>
      </c>
      <c r="L10" s="2" t="s">
        <v>28</v>
      </c>
      <c r="M10" s="6" t="str">
        <f aca="false">INDEX(Stores!$B$2:$B$13,MATCH(B10,Stores!$A$2:$A$13,0))</f>
        <v>Zomato - Mumbai Store</v>
      </c>
      <c r="N10" s="6" t="str">
        <f aca="false">INDEX(StoresTbl[City],MATCH(B10,StoresTbl[Store ID],0))</f>
        <v>Mumbai</v>
      </c>
      <c r="O10" s="6" t="str">
        <f aca="false">IF(K10="","Not Rated",IF(K10&gt;=4.5,"Excellent",IF(K10&gt;=3.5,"Good",IF(K10&gt;=2.5,"Average","Poor"))))</f>
        <v>Average</v>
      </c>
      <c r="P10" s="6" t="str">
        <f aca="false">IF(AND(F10&gt;=3,H10&gt;=0.1),"Bulk &amp; Discounted",IF(OR(F10&gt;=5,I10&gt;800),"Large Order","Standard Order"))</f>
        <v>Standard Order</v>
      </c>
      <c r="Q10" s="6" t="n">
        <f aca="false">IFERROR(G10/K10,"No Rating Yet")</f>
        <v>76.5384615384615</v>
      </c>
    </row>
    <row r="11" customFormat="false" ht="15" hidden="false" customHeight="false" outlineLevel="0" collapsed="false">
      <c r="A11" s="2" t="s">
        <v>46</v>
      </c>
      <c r="B11" s="2" t="s">
        <v>26</v>
      </c>
      <c r="C11" s="3" t="n">
        <v>45759</v>
      </c>
      <c r="D11" s="2" t="s">
        <v>43</v>
      </c>
      <c r="E11" s="2" t="s">
        <v>20</v>
      </c>
      <c r="F11" s="2" t="n">
        <v>3</v>
      </c>
      <c r="G11" s="4" t="n">
        <v>149</v>
      </c>
      <c r="H11" s="5" t="n">
        <v>0.05</v>
      </c>
      <c r="I11" s="4" t="n">
        <f aca="false">F11*G11*(1-H11)</f>
        <v>424.65</v>
      </c>
      <c r="J11" s="2" t="n">
        <v>50</v>
      </c>
      <c r="K11" s="2" t="n">
        <v>4.2</v>
      </c>
      <c r="L11" s="2" t="s">
        <v>28</v>
      </c>
      <c r="M11" s="6" t="str">
        <f aca="false">INDEX(Stores!$B$2:$B$13,MATCH(B11,Stores!$A$2:$A$13,0))</f>
        <v>Zomato - Ahmedabad Store</v>
      </c>
      <c r="N11" s="6" t="str">
        <f aca="false">INDEX(StoresTbl[City],MATCH(B11,StoresTbl[Store ID],0))</f>
        <v>Ahmedabad</v>
      </c>
      <c r="O11" s="6" t="str">
        <f aca="false">IF(K11="","Not Rated",IF(K11&gt;=4.5,"Excellent",IF(K11&gt;=3.5,"Good",IF(K11&gt;=2.5,"Average","Poor"))))</f>
        <v>Good</v>
      </c>
      <c r="P11" s="6" t="str">
        <f aca="false">IF(AND(F11&gt;=3,H11&gt;=0.1),"Bulk &amp; Discounted",IF(OR(F11&gt;=5,I11&gt;800),"Large Order","Standard Order"))</f>
        <v>Standard Order</v>
      </c>
      <c r="Q11" s="6" t="n">
        <f aca="false">IFERROR(G11/K11,"No Rating Yet")</f>
        <v>35.4761904761905</v>
      </c>
    </row>
    <row r="12" customFormat="false" ht="15" hidden="false" customHeight="false" outlineLevel="0" collapsed="false">
      <c r="A12" s="2" t="s">
        <v>47</v>
      </c>
      <c r="B12" s="2" t="s">
        <v>48</v>
      </c>
      <c r="C12" s="3" t="n">
        <v>45807</v>
      </c>
      <c r="D12" s="2" t="s">
        <v>49</v>
      </c>
      <c r="E12" s="2" t="s">
        <v>32</v>
      </c>
      <c r="F12" s="2" t="n">
        <v>2</v>
      </c>
      <c r="G12" s="4" t="n">
        <v>149</v>
      </c>
      <c r="H12" s="5" t="n">
        <v>0.2</v>
      </c>
      <c r="I12" s="4" t="n">
        <f aca="false">F12*G12*(1-H12)</f>
        <v>238.4</v>
      </c>
      <c r="J12" s="2" t="n">
        <v>46</v>
      </c>
      <c r="K12" s="2" t="n">
        <v>4.3</v>
      </c>
      <c r="L12" s="2" t="s">
        <v>50</v>
      </c>
      <c r="M12" s="6" t="str">
        <f aca="false">INDEX(Stores!$B$2:$B$13,MATCH(B12,Stores!$A$2:$A$13,0))</f>
        <v>Zomato - Kolkata Store</v>
      </c>
      <c r="N12" s="6" t="str">
        <f aca="false">INDEX(StoresTbl[City],MATCH(B12,StoresTbl[Store ID],0))</f>
        <v>Kolkata</v>
      </c>
      <c r="O12" s="6" t="str">
        <f aca="false">IF(K12="","Not Rated",IF(K12&gt;=4.5,"Excellent",IF(K12&gt;=3.5,"Good",IF(K12&gt;=2.5,"Average","Poor"))))</f>
        <v>Good</v>
      </c>
      <c r="P12" s="6" t="str">
        <f aca="false">IF(AND(F12&gt;=3,H12&gt;=0.1),"Bulk &amp; Discounted",IF(OR(F12&gt;=5,I12&gt;800),"Large Order","Standard Order"))</f>
        <v>Standard Order</v>
      </c>
      <c r="Q12" s="6" t="n">
        <f aca="false">IFERROR(G12/K12,"No Rating Yet")</f>
        <v>34.6511627906977</v>
      </c>
    </row>
    <row r="13" customFormat="false" ht="15" hidden="false" customHeight="false" outlineLevel="0" collapsed="false">
      <c r="A13" s="2" t="s">
        <v>51</v>
      </c>
      <c r="B13" s="2" t="s">
        <v>23</v>
      </c>
      <c r="C13" s="3" t="n">
        <v>45697</v>
      </c>
      <c r="D13" s="2" t="s">
        <v>40</v>
      </c>
      <c r="E13" s="2" t="s">
        <v>32</v>
      </c>
      <c r="F13" s="2" t="n">
        <v>5</v>
      </c>
      <c r="G13" s="4" t="n">
        <v>129</v>
      </c>
      <c r="H13" s="5" t="n">
        <v>0.15</v>
      </c>
      <c r="I13" s="4" t="n">
        <f aca="false">F13*G13*(1-H13)</f>
        <v>548.25</v>
      </c>
      <c r="J13" s="2" t="n">
        <v>39</v>
      </c>
      <c r="K13" s="2" t="n">
        <v>3.6</v>
      </c>
      <c r="L13" s="2" t="s">
        <v>21</v>
      </c>
      <c r="M13" s="6" t="str">
        <f aca="false">INDEX(Stores!$B$2:$B$13,MATCH(B13,Stores!$A$2:$A$13,0))</f>
        <v>Zomato - Delhi Store</v>
      </c>
      <c r="N13" s="6" t="str">
        <f aca="false">INDEX(StoresTbl[City],MATCH(B13,StoresTbl[Store ID],0))</f>
        <v>Delhi</v>
      </c>
      <c r="O13" s="6" t="str">
        <f aca="false">IF(K13="","Not Rated",IF(K13&gt;=4.5,"Excellent",IF(K13&gt;=3.5,"Good",IF(K13&gt;=2.5,"Average","Poor"))))</f>
        <v>Good</v>
      </c>
      <c r="P13" s="6" t="str">
        <f aca="false">IF(AND(F13&gt;=3,H13&gt;=0.1),"Bulk &amp; Discounted",IF(OR(F13&gt;=5,I13&gt;800),"Large Order","Standard Order"))</f>
        <v>Bulk &amp; Discounted</v>
      </c>
      <c r="Q13" s="6" t="n">
        <f aca="false">IFERROR(G13/K13,"No Rating Yet")</f>
        <v>35.8333333333333</v>
      </c>
    </row>
    <row r="14" customFormat="false" ht="15" hidden="false" customHeight="false" outlineLevel="0" collapsed="false">
      <c r="A14" s="2" t="s">
        <v>52</v>
      </c>
      <c r="B14" s="2" t="s">
        <v>53</v>
      </c>
      <c r="C14" s="3" t="n">
        <v>45660</v>
      </c>
      <c r="D14" s="2" t="s">
        <v>31</v>
      </c>
      <c r="E14" s="2" t="s">
        <v>32</v>
      </c>
      <c r="F14" s="2" t="n">
        <v>6</v>
      </c>
      <c r="G14" s="4" t="n">
        <v>229</v>
      </c>
      <c r="H14" s="5" t="n">
        <v>0</v>
      </c>
      <c r="I14" s="4" t="n">
        <f aca="false">F14*G14*(1-H14)</f>
        <v>1374</v>
      </c>
      <c r="J14" s="2" t="n">
        <v>33</v>
      </c>
      <c r="K14" s="2" t="n">
        <v>2.5</v>
      </c>
      <c r="L14" s="2" t="s">
        <v>21</v>
      </c>
      <c r="M14" s="6" t="str">
        <f aca="false">INDEX(Stores!$B$2:$B$13,MATCH(B14,Stores!$A$2:$A$13,0))</f>
        <v>Zomato - Jaipur Store</v>
      </c>
      <c r="N14" s="6" t="str">
        <f aca="false">INDEX(StoresTbl[City],MATCH(B14,StoresTbl[Store ID],0))</f>
        <v>Jaipur</v>
      </c>
      <c r="O14" s="6" t="str">
        <f aca="false">IF(K14="","Not Rated",IF(K14&gt;=4.5,"Excellent",IF(K14&gt;=3.5,"Good",IF(K14&gt;=2.5,"Average","Poor"))))</f>
        <v>Average</v>
      </c>
      <c r="P14" s="6" t="str">
        <f aca="false">IF(AND(F14&gt;=3,H14&gt;=0.1),"Bulk &amp; Discounted",IF(OR(F14&gt;=5,I14&gt;800),"Large Order","Standard Order"))</f>
        <v>Large Order</v>
      </c>
      <c r="Q14" s="6" t="n">
        <f aca="false">IFERROR(G14/K14,"No Rating Yet")</f>
        <v>91.6</v>
      </c>
    </row>
    <row r="15" customFormat="false" ht="15" hidden="false" customHeight="false" outlineLevel="0" collapsed="false">
      <c r="A15" s="2" t="s">
        <v>54</v>
      </c>
      <c r="B15" s="2" t="s">
        <v>45</v>
      </c>
      <c r="C15" s="3" t="n">
        <v>45725</v>
      </c>
      <c r="D15" s="2" t="s">
        <v>35</v>
      </c>
      <c r="E15" s="2" t="s">
        <v>20</v>
      </c>
      <c r="F15" s="2" t="n">
        <v>5</v>
      </c>
      <c r="G15" s="4" t="n">
        <v>129</v>
      </c>
      <c r="H15" s="5" t="n">
        <v>0.1</v>
      </c>
      <c r="I15" s="4" t="n">
        <f aca="false">F15*G15*(1-H15)</f>
        <v>580.5</v>
      </c>
      <c r="J15" s="2" t="n">
        <v>55</v>
      </c>
      <c r="K15" s="2" t="n">
        <v>2.5</v>
      </c>
      <c r="L15" s="2" t="s">
        <v>24</v>
      </c>
      <c r="M15" s="6" t="str">
        <f aca="false">INDEX(Stores!$B$2:$B$13,MATCH(B15,Stores!$A$2:$A$13,0))</f>
        <v>Zomato - Mumbai Store</v>
      </c>
      <c r="N15" s="6" t="str">
        <f aca="false">INDEX(StoresTbl[City],MATCH(B15,StoresTbl[Store ID],0))</f>
        <v>Mumbai</v>
      </c>
      <c r="O15" s="6" t="str">
        <f aca="false">IF(K15="","Not Rated",IF(K15&gt;=4.5,"Excellent",IF(K15&gt;=3.5,"Good",IF(K15&gt;=2.5,"Average","Poor"))))</f>
        <v>Average</v>
      </c>
      <c r="P15" s="6" t="str">
        <f aca="false">IF(AND(F15&gt;=3,H15&gt;=0.1),"Bulk &amp; Discounted",IF(OR(F15&gt;=5,I15&gt;800),"Large Order","Standard Order"))</f>
        <v>Bulk &amp; Discounted</v>
      </c>
      <c r="Q15" s="6" t="n">
        <f aca="false">IFERROR(G15/K15,"No Rating Yet")</f>
        <v>51.6</v>
      </c>
    </row>
    <row r="16" customFormat="false" ht="15" hidden="false" customHeight="false" outlineLevel="0" collapsed="false">
      <c r="A16" s="2" t="s">
        <v>55</v>
      </c>
      <c r="B16" s="2" t="s">
        <v>56</v>
      </c>
      <c r="C16" s="3" t="n">
        <v>45796</v>
      </c>
      <c r="D16" s="2" t="s">
        <v>35</v>
      </c>
      <c r="E16" s="2" t="s">
        <v>20</v>
      </c>
      <c r="F16" s="2" t="n">
        <v>5</v>
      </c>
      <c r="G16" s="4" t="n">
        <v>229</v>
      </c>
      <c r="H16" s="5" t="n">
        <v>0.15</v>
      </c>
      <c r="I16" s="4" t="n">
        <f aca="false">F16*G16*(1-H16)</f>
        <v>973.25</v>
      </c>
      <c r="J16" s="2" t="n">
        <v>16</v>
      </c>
      <c r="K16" s="2" t="n">
        <v>4.8</v>
      </c>
      <c r="L16" s="2" t="s">
        <v>50</v>
      </c>
      <c r="M16" s="6" t="str">
        <f aca="false">INDEX(Stores!$B$2:$B$13,MATCH(B16,Stores!$A$2:$A$13,0))</f>
        <v>Zomato - Bangalore Store</v>
      </c>
      <c r="N16" s="6" t="str">
        <f aca="false">INDEX(StoresTbl[City],MATCH(B16,StoresTbl[Store ID],0))</f>
        <v>Bangalore</v>
      </c>
      <c r="O16" s="6" t="str">
        <f aca="false">IF(K16="","Not Rated",IF(K16&gt;=4.5,"Excellent",IF(K16&gt;=3.5,"Good",IF(K16&gt;=2.5,"Average","Poor"))))</f>
        <v>Excellent</v>
      </c>
      <c r="P16" s="6" t="str">
        <f aca="false">IF(AND(F16&gt;=3,H16&gt;=0.1),"Bulk &amp; Discounted",IF(OR(F16&gt;=5,I16&gt;800),"Large Order","Standard Order"))</f>
        <v>Bulk &amp; Discounted</v>
      </c>
      <c r="Q16" s="6" t="n">
        <f aca="false">IFERROR(G16/K16,"No Rating Yet")</f>
        <v>47.7083333333333</v>
      </c>
    </row>
    <row r="17" customFormat="false" ht="15" hidden="false" customHeight="false" outlineLevel="0" collapsed="false">
      <c r="A17" s="2" t="s">
        <v>57</v>
      </c>
      <c r="B17" s="2" t="s">
        <v>18</v>
      </c>
      <c r="C17" s="3" t="n">
        <v>45719</v>
      </c>
      <c r="D17" s="2" t="s">
        <v>37</v>
      </c>
      <c r="E17" s="2" t="s">
        <v>20</v>
      </c>
      <c r="F17" s="2" t="n">
        <v>5</v>
      </c>
      <c r="G17" s="4" t="n">
        <v>129</v>
      </c>
      <c r="H17" s="5" t="n">
        <v>0</v>
      </c>
      <c r="I17" s="4" t="n">
        <f aca="false">F17*G17*(1-H17)</f>
        <v>645</v>
      </c>
      <c r="J17" s="2" t="n">
        <v>46</v>
      </c>
      <c r="K17" s="2" t="n">
        <v>4.9</v>
      </c>
      <c r="L17" s="2" t="s">
        <v>50</v>
      </c>
      <c r="M17" s="6" t="str">
        <f aca="false">INDEX(Stores!$B$2:$B$13,MATCH(B17,Stores!$A$2:$A$13,0))</f>
        <v>Zomato - Hyderabad Store</v>
      </c>
      <c r="N17" s="6" t="str">
        <f aca="false">INDEX(StoresTbl[City],MATCH(B17,StoresTbl[Store ID],0))</f>
        <v>Hyderabad</v>
      </c>
      <c r="O17" s="6" t="str">
        <f aca="false">IF(K17="","Not Rated",IF(K17&gt;=4.5,"Excellent",IF(K17&gt;=3.5,"Good",IF(K17&gt;=2.5,"Average","Poor"))))</f>
        <v>Excellent</v>
      </c>
      <c r="P17" s="6" t="str">
        <f aca="false">IF(AND(F17&gt;=3,H17&gt;=0.1),"Bulk &amp; Discounted",IF(OR(F17&gt;=5,I17&gt;800),"Large Order","Standard Order"))</f>
        <v>Large Order</v>
      </c>
      <c r="Q17" s="6" t="n">
        <f aca="false">IFERROR(G17/K17,"No Rating Yet")</f>
        <v>26.3265306122449</v>
      </c>
    </row>
    <row r="18" customFormat="false" ht="15" hidden="false" customHeight="false" outlineLevel="0" collapsed="false">
      <c r="A18" s="2" t="s">
        <v>58</v>
      </c>
      <c r="B18" s="2" t="s">
        <v>53</v>
      </c>
      <c r="C18" s="3" t="n">
        <v>45690</v>
      </c>
      <c r="D18" s="2" t="s">
        <v>40</v>
      </c>
      <c r="E18" s="2" t="s">
        <v>32</v>
      </c>
      <c r="F18" s="2" t="n">
        <v>5</v>
      </c>
      <c r="G18" s="4" t="n">
        <v>149</v>
      </c>
      <c r="H18" s="5" t="n">
        <v>0.1</v>
      </c>
      <c r="I18" s="4" t="n">
        <f aca="false">F18*G18*(1-H18)</f>
        <v>670.5</v>
      </c>
      <c r="J18" s="2" t="n">
        <v>48</v>
      </c>
      <c r="K18" s="2" t="n">
        <v>4.9</v>
      </c>
      <c r="L18" s="2" t="s">
        <v>21</v>
      </c>
      <c r="M18" s="6" t="str">
        <f aca="false">INDEX(Stores!$B$2:$B$13,MATCH(B18,Stores!$A$2:$A$13,0))</f>
        <v>Zomato - Jaipur Store</v>
      </c>
      <c r="N18" s="6" t="str">
        <f aca="false">INDEX(StoresTbl[City],MATCH(B18,StoresTbl[Store ID],0))</f>
        <v>Jaipur</v>
      </c>
      <c r="O18" s="6" t="str">
        <f aca="false">IF(K18="","Not Rated",IF(K18&gt;=4.5,"Excellent",IF(K18&gt;=3.5,"Good",IF(K18&gt;=2.5,"Average","Poor"))))</f>
        <v>Excellent</v>
      </c>
      <c r="P18" s="6" t="str">
        <f aca="false">IF(AND(F18&gt;=3,H18&gt;=0.1),"Bulk &amp; Discounted",IF(OR(F18&gt;=5,I18&gt;800),"Large Order","Standard Order"))</f>
        <v>Bulk &amp; Discounted</v>
      </c>
      <c r="Q18" s="6" t="n">
        <f aca="false">IFERROR(G18/K18,"No Rating Yet")</f>
        <v>30.4081632653061</v>
      </c>
    </row>
    <row r="19" customFormat="false" ht="15" hidden="false" customHeight="false" outlineLevel="0" collapsed="false">
      <c r="A19" s="2" t="s">
        <v>59</v>
      </c>
      <c r="B19" s="2" t="s">
        <v>53</v>
      </c>
      <c r="C19" s="3" t="n">
        <v>45834</v>
      </c>
      <c r="D19" s="2" t="s">
        <v>19</v>
      </c>
      <c r="E19" s="2" t="s">
        <v>32</v>
      </c>
      <c r="F19" s="2" t="n">
        <v>4</v>
      </c>
      <c r="G19" s="4" t="n">
        <v>399</v>
      </c>
      <c r="H19" s="5" t="n">
        <v>0.1</v>
      </c>
      <c r="I19" s="4" t="n">
        <f aca="false">F19*G19*(1-H19)</f>
        <v>1436.4</v>
      </c>
      <c r="J19" s="2" t="n">
        <v>43</v>
      </c>
      <c r="K19" s="2" t="n">
        <v>2.4</v>
      </c>
      <c r="L19" s="2" t="s">
        <v>21</v>
      </c>
      <c r="M19" s="6" t="str">
        <f aca="false">INDEX(Stores!$B$2:$B$13,MATCH(B19,Stores!$A$2:$A$13,0))</f>
        <v>Zomato - Jaipur Store</v>
      </c>
      <c r="N19" s="6" t="str">
        <f aca="false">INDEX(StoresTbl[City],MATCH(B19,StoresTbl[Store ID],0))</f>
        <v>Jaipur</v>
      </c>
      <c r="O19" s="6" t="str">
        <f aca="false">IF(K19="","Not Rated",IF(K19&gt;=4.5,"Excellent",IF(K19&gt;=3.5,"Good",IF(K19&gt;=2.5,"Average","Poor"))))</f>
        <v>Poor</v>
      </c>
      <c r="P19" s="6" t="str">
        <f aca="false">IF(AND(F19&gt;=3,H19&gt;=0.1),"Bulk &amp; Discounted",IF(OR(F19&gt;=5,I19&gt;800),"Large Order","Standard Order"))</f>
        <v>Bulk &amp; Discounted</v>
      </c>
      <c r="Q19" s="6" t="n">
        <f aca="false">IFERROR(G19/K19,"No Rating Yet")</f>
        <v>166.25</v>
      </c>
    </row>
    <row r="20" customFormat="false" ht="15" hidden="false" customHeight="false" outlineLevel="0" collapsed="false">
      <c r="A20" s="2" t="s">
        <v>60</v>
      </c>
      <c r="B20" s="2" t="s">
        <v>42</v>
      </c>
      <c r="C20" s="3" t="n">
        <v>45674</v>
      </c>
      <c r="D20" s="2" t="s">
        <v>61</v>
      </c>
      <c r="E20" s="2" t="s">
        <v>20</v>
      </c>
      <c r="F20" s="2" t="n">
        <v>5</v>
      </c>
      <c r="G20" s="4" t="n">
        <v>299</v>
      </c>
      <c r="H20" s="5" t="n">
        <v>0.05</v>
      </c>
      <c r="I20" s="4" t="n">
        <f aca="false">F20*G20*(1-H20)</f>
        <v>1420.25</v>
      </c>
      <c r="J20" s="2" t="n">
        <v>52</v>
      </c>
      <c r="K20" s="2" t="n">
        <v>2</v>
      </c>
      <c r="L20" s="2" t="s">
        <v>24</v>
      </c>
      <c r="M20" s="6" t="str">
        <f aca="false">INDEX(Stores!$B$2:$B$13,MATCH(B20,Stores!$A$2:$A$13,0))</f>
        <v>Zomato - Pune Store</v>
      </c>
      <c r="N20" s="6" t="str">
        <f aca="false">INDEX(StoresTbl[City],MATCH(B20,StoresTbl[Store ID],0))</f>
        <v>Pune</v>
      </c>
      <c r="O20" s="6" t="str">
        <f aca="false">IF(K20="","Not Rated",IF(K20&gt;=4.5,"Excellent",IF(K20&gt;=3.5,"Good",IF(K20&gt;=2.5,"Average","Poor"))))</f>
        <v>Poor</v>
      </c>
      <c r="P20" s="6" t="str">
        <f aca="false">IF(AND(F20&gt;=3,H20&gt;=0.1),"Bulk &amp; Discounted",IF(OR(F20&gt;=5,I20&gt;800),"Large Order","Standard Order"))</f>
        <v>Large Order</v>
      </c>
      <c r="Q20" s="6" t="n">
        <f aca="false">IFERROR(G20/K20,"No Rating Yet")</f>
        <v>149.5</v>
      </c>
    </row>
    <row r="21" customFormat="false" ht="15" hidden="false" customHeight="false" outlineLevel="0" collapsed="false">
      <c r="A21" s="2" t="s">
        <v>62</v>
      </c>
      <c r="B21" s="2" t="s">
        <v>34</v>
      </c>
      <c r="C21" s="3" t="n">
        <v>45819</v>
      </c>
      <c r="D21" s="2" t="s">
        <v>37</v>
      </c>
      <c r="E21" s="2" t="s">
        <v>20</v>
      </c>
      <c r="F21" s="2" t="n">
        <v>1</v>
      </c>
      <c r="G21" s="4" t="n">
        <v>99</v>
      </c>
      <c r="H21" s="5" t="n">
        <v>0.1</v>
      </c>
      <c r="I21" s="4" t="n">
        <f aca="false">F21*G21*(1-H21)</f>
        <v>89.1</v>
      </c>
      <c r="J21" s="2" t="n">
        <v>19</v>
      </c>
      <c r="K21" s="2" t="n">
        <v>2.8</v>
      </c>
      <c r="L21" s="2" t="s">
        <v>24</v>
      </c>
      <c r="M21" s="6" t="str">
        <f aca="false">INDEX(Stores!$B$2:$B$13,MATCH(B21,Stores!$A$2:$A$13,0))</f>
        <v>Zomato - Indore Store</v>
      </c>
      <c r="N21" s="6" t="str">
        <f aca="false">INDEX(StoresTbl[City],MATCH(B21,StoresTbl[Store ID],0))</f>
        <v>Indore</v>
      </c>
      <c r="O21" s="6" t="str">
        <f aca="false">IF(K21="","Not Rated",IF(K21&gt;=4.5,"Excellent",IF(K21&gt;=3.5,"Good",IF(K21&gt;=2.5,"Average","Poor"))))</f>
        <v>Average</v>
      </c>
      <c r="P21" s="6" t="str">
        <f aca="false">IF(AND(F21&gt;=3,H21&gt;=0.1),"Bulk &amp; Discounted",IF(OR(F21&gt;=5,I21&gt;800),"Large Order","Standard Order"))</f>
        <v>Standard Order</v>
      </c>
      <c r="Q21" s="6" t="n">
        <f aca="false">IFERROR(G21/K21,"No Rating Yet")</f>
        <v>35.3571428571429</v>
      </c>
    </row>
    <row r="22" customFormat="false" ht="15" hidden="false" customHeight="false" outlineLevel="0" collapsed="false">
      <c r="A22" s="2" t="s">
        <v>63</v>
      </c>
      <c r="B22" s="2" t="s">
        <v>26</v>
      </c>
      <c r="C22" s="3" t="n">
        <v>45712</v>
      </c>
      <c r="D22" s="2" t="s">
        <v>35</v>
      </c>
      <c r="E22" s="2" t="s">
        <v>20</v>
      </c>
      <c r="F22" s="2" t="n">
        <v>6</v>
      </c>
      <c r="G22" s="4" t="n">
        <v>349</v>
      </c>
      <c r="H22" s="5" t="n">
        <v>0.2</v>
      </c>
      <c r="I22" s="4" t="n">
        <f aca="false">F22*G22*(1-H22)</f>
        <v>1675.2</v>
      </c>
      <c r="J22" s="2" t="n">
        <v>45</v>
      </c>
      <c r="K22" s="2" t="n">
        <v>4.4</v>
      </c>
      <c r="L22" s="2" t="s">
        <v>24</v>
      </c>
      <c r="M22" s="6" t="str">
        <f aca="false">INDEX(Stores!$B$2:$B$13,MATCH(B22,Stores!$A$2:$A$13,0))</f>
        <v>Zomato - Ahmedabad Store</v>
      </c>
      <c r="N22" s="6" t="str">
        <f aca="false">INDEX(StoresTbl[City],MATCH(B22,StoresTbl[Store ID],0))</f>
        <v>Ahmedabad</v>
      </c>
      <c r="O22" s="6" t="str">
        <f aca="false">IF(K22="","Not Rated",IF(K22&gt;=4.5,"Excellent",IF(K22&gt;=3.5,"Good",IF(K22&gt;=2.5,"Average","Poor"))))</f>
        <v>Good</v>
      </c>
      <c r="P22" s="6" t="str">
        <f aca="false">IF(AND(F22&gt;=3,H22&gt;=0.1),"Bulk &amp; Discounted",IF(OR(F22&gt;=5,I22&gt;800),"Large Order","Standard Order"))</f>
        <v>Bulk &amp; Discounted</v>
      </c>
      <c r="Q22" s="6" t="n">
        <f aca="false">IFERROR(G22/K22,"No Rating Yet")</f>
        <v>79.3181818181818</v>
      </c>
    </row>
    <row r="23" customFormat="false" ht="15" hidden="false" customHeight="false" outlineLevel="0" collapsed="false">
      <c r="A23" s="2" t="s">
        <v>64</v>
      </c>
      <c r="B23" s="2" t="s">
        <v>48</v>
      </c>
      <c r="C23" s="3" t="n">
        <v>45706</v>
      </c>
      <c r="D23" s="2" t="s">
        <v>31</v>
      </c>
      <c r="E23" s="2" t="s">
        <v>20</v>
      </c>
      <c r="F23" s="2" t="n">
        <v>6</v>
      </c>
      <c r="G23" s="4" t="n">
        <v>249</v>
      </c>
      <c r="H23" s="5" t="n">
        <v>0.1</v>
      </c>
      <c r="I23" s="4" t="n">
        <f aca="false">F23*G23*(1-H23)</f>
        <v>1344.6</v>
      </c>
      <c r="J23" s="2" t="n">
        <v>42</v>
      </c>
      <c r="K23" s="2" t="n">
        <v>3.4</v>
      </c>
      <c r="L23" s="2" t="s">
        <v>21</v>
      </c>
      <c r="M23" s="6" t="str">
        <f aca="false">INDEX(Stores!$B$2:$B$13,MATCH(B23,Stores!$A$2:$A$13,0))</f>
        <v>Zomato - Kolkata Store</v>
      </c>
      <c r="N23" s="6" t="str">
        <f aca="false">INDEX(StoresTbl[City],MATCH(B23,StoresTbl[Store ID],0))</f>
        <v>Kolkata</v>
      </c>
      <c r="O23" s="6" t="str">
        <f aca="false">IF(K23="","Not Rated",IF(K23&gt;=4.5,"Excellent",IF(K23&gt;=3.5,"Good",IF(K23&gt;=2.5,"Average","Poor"))))</f>
        <v>Average</v>
      </c>
      <c r="P23" s="6" t="str">
        <f aca="false">IF(AND(F23&gt;=3,H23&gt;=0.1),"Bulk &amp; Discounted",IF(OR(F23&gt;=5,I23&gt;800),"Large Order","Standard Order"))</f>
        <v>Bulk &amp; Discounted</v>
      </c>
      <c r="Q23" s="6" t="n">
        <f aca="false">IFERROR(G23/K23,"No Rating Yet")</f>
        <v>73.2352941176471</v>
      </c>
    </row>
    <row r="24" customFormat="false" ht="15" hidden="false" customHeight="false" outlineLevel="0" collapsed="false">
      <c r="A24" s="2" t="s">
        <v>65</v>
      </c>
      <c r="B24" s="2" t="s">
        <v>34</v>
      </c>
      <c r="C24" s="3" t="n">
        <v>45671</v>
      </c>
      <c r="D24" s="2" t="s">
        <v>31</v>
      </c>
      <c r="E24" s="2" t="s">
        <v>20</v>
      </c>
      <c r="F24" s="2" t="n">
        <v>4</v>
      </c>
      <c r="G24" s="4" t="n">
        <v>449</v>
      </c>
      <c r="H24" s="5" t="n">
        <v>0.1</v>
      </c>
      <c r="I24" s="4" t="n">
        <f aca="false">F24*G24*(1-H24)</f>
        <v>1616.4</v>
      </c>
      <c r="J24" s="2" t="n">
        <v>21</v>
      </c>
      <c r="K24" s="2" t="n">
        <v>2.6</v>
      </c>
      <c r="L24" s="2" t="s">
        <v>24</v>
      </c>
      <c r="M24" s="6" t="str">
        <f aca="false">INDEX(Stores!$B$2:$B$13,MATCH(B24,Stores!$A$2:$A$13,0))</f>
        <v>Zomato - Indore Store</v>
      </c>
      <c r="N24" s="6" t="str">
        <f aca="false">INDEX(StoresTbl[City],MATCH(B24,StoresTbl[Store ID],0))</f>
        <v>Indore</v>
      </c>
      <c r="O24" s="6" t="str">
        <f aca="false">IF(K24="","Not Rated",IF(K24&gt;=4.5,"Excellent",IF(K24&gt;=3.5,"Good",IF(K24&gt;=2.5,"Average","Poor"))))</f>
        <v>Average</v>
      </c>
      <c r="P24" s="6" t="str">
        <f aca="false">IF(AND(F24&gt;=3,H24&gt;=0.1),"Bulk &amp; Discounted",IF(OR(F24&gt;=5,I24&gt;800),"Large Order","Standard Order"))</f>
        <v>Bulk &amp; Discounted</v>
      </c>
      <c r="Q24" s="6" t="n">
        <f aca="false">IFERROR(G24/K24,"No Rating Yet")</f>
        <v>172.692307692308</v>
      </c>
    </row>
    <row r="25" customFormat="false" ht="15" hidden="false" customHeight="false" outlineLevel="0" collapsed="false">
      <c r="A25" s="2" t="s">
        <v>66</v>
      </c>
      <c r="B25" s="2" t="s">
        <v>53</v>
      </c>
      <c r="C25" s="3" t="n">
        <v>45772</v>
      </c>
      <c r="D25" s="2" t="s">
        <v>40</v>
      </c>
      <c r="E25" s="2" t="s">
        <v>32</v>
      </c>
      <c r="F25" s="2" t="n">
        <v>2</v>
      </c>
      <c r="G25" s="4" t="n">
        <v>199</v>
      </c>
      <c r="H25" s="5" t="n">
        <v>0.15</v>
      </c>
      <c r="I25" s="4" t="n">
        <f aca="false">F25*G25*(1-H25)</f>
        <v>338.3</v>
      </c>
      <c r="J25" s="2" t="n">
        <v>30</v>
      </c>
      <c r="K25" s="2" t="n">
        <v>3.3</v>
      </c>
      <c r="L25" s="2" t="s">
        <v>50</v>
      </c>
      <c r="M25" s="6" t="str">
        <f aca="false">INDEX(Stores!$B$2:$B$13,MATCH(B25,Stores!$A$2:$A$13,0))</f>
        <v>Zomato - Jaipur Store</v>
      </c>
      <c r="N25" s="6" t="str">
        <f aca="false">INDEX(StoresTbl[City],MATCH(B25,StoresTbl[Store ID],0))</f>
        <v>Jaipur</v>
      </c>
      <c r="O25" s="6" t="str">
        <f aca="false">IF(K25="","Not Rated",IF(K25&gt;=4.5,"Excellent",IF(K25&gt;=3.5,"Good",IF(K25&gt;=2.5,"Average","Poor"))))</f>
        <v>Average</v>
      </c>
      <c r="P25" s="6" t="str">
        <f aca="false">IF(AND(F25&gt;=3,H25&gt;=0.1),"Bulk &amp; Discounted",IF(OR(F25&gt;=5,I25&gt;800),"Large Order","Standard Order"))</f>
        <v>Standard Order</v>
      </c>
      <c r="Q25" s="6" t="n">
        <f aca="false">IFERROR(G25/K25,"No Rating Yet")</f>
        <v>60.3030303030303</v>
      </c>
    </row>
    <row r="26" customFormat="false" ht="15" hidden="false" customHeight="false" outlineLevel="0" collapsed="false">
      <c r="A26" s="2" t="s">
        <v>67</v>
      </c>
      <c r="B26" s="2" t="s">
        <v>53</v>
      </c>
      <c r="C26" s="3" t="n">
        <v>45683</v>
      </c>
      <c r="D26" s="2" t="s">
        <v>37</v>
      </c>
      <c r="E26" s="2" t="s">
        <v>20</v>
      </c>
      <c r="F26" s="2" t="n">
        <v>1</v>
      </c>
      <c r="G26" s="4" t="n">
        <v>499</v>
      </c>
      <c r="H26" s="5" t="n">
        <v>0.05</v>
      </c>
      <c r="I26" s="4" t="n">
        <f aca="false">F26*G26*(1-H26)</f>
        <v>474.05</v>
      </c>
      <c r="J26" s="2" t="n">
        <v>25</v>
      </c>
      <c r="K26" s="2" t="n">
        <v>3.5</v>
      </c>
      <c r="L26" s="2" t="s">
        <v>21</v>
      </c>
      <c r="M26" s="6" t="str">
        <f aca="false">INDEX(Stores!$B$2:$B$13,MATCH(B26,Stores!$A$2:$A$13,0))</f>
        <v>Zomato - Jaipur Store</v>
      </c>
      <c r="N26" s="6" t="str">
        <f aca="false">INDEX(StoresTbl[City],MATCH(B26,StoresTbl[Store ID],0))</f>
        <v>Jaipur</v>
      </c>
      <c r="O26" s="6" t="str">
        <f aca="false">IF(K26="","Not Rated",IF(K26&gt;=4.5,"Excellent",IF(K26&gt;=3.5,"Good",IF(K26&gt;=2.5,"Average","Poor"))))</f>
        <v>Good</v>
      </c>
      <c r="P26" s="6" t="str">
        <f aca="false">IF(AND(F26&gt;=3,H26&gt;=0.1),"Bulk &amp; Discounted",IF(OR(F26&gt;=5,I26&gt;800),"Large Order","Standard Order"))</f>
        <v>Standard Order</v>
      </c>
      <c r="Q26" s="6" t="n">
        <f aca="false">IFERROR(G26/K26,"No Rating Yet")</f>
        <v>142.571428571429</v>
      </c>
    </row>
    <row r="27" customFormat="false" ht="15" hidden="false" customHeight="false" outlineLevel="0" collapsed="false">
      <c r="A27" s="2" t="s">
        <v>68</v>
      </c>
      <c r="B27" s="2" t="s">
        <v>42</v>
      </c>
      <c r="C27" s="3" t="n">
        <v>45760</v>
      </c>
      <c r="D27" s="2" t="s">
        <v>37</v>
      </c>
      <c r="E27" s="2" t="s">
        <v>20</v>
      </c>
      <c r="F27" s="2" t="n">
        <v>4</v>
      </c>
      <c r="G27" s="4" t="n">
        <v>99</v>
      </c>
      <c r="H27" s="5" t="n">
        <v>0.15</v>
      </c>
      <c r="I27" s="4" t="n">
        <f aca="false">F27*G27*(1-H27)</f>
        <v>336.6</v>
      </c>
      <c r="J27" s="2" t="n">
        <v>31</v>
      </c>
      <c r="K27" s="2" t="n">
        <v>2.9</v>
      </c>
      <c r="L27" s="2" t="s">
        <v>21</v>
      </c>
      <c r="M27" s="6" t="str">
        <f aca="false">INDEX(Stores!$B$2:$B$13,MATCH(B27,Stores!$A$2:$A$13,0))</f>
        <v>Zomato - Pune Store</v>
      </c>
      <c r="N27" s="6" t="str">
        <f aca="false">INDEX(StoresTbl[City],MATCH(B27,StoresTbl[Store ID],0))</f>
        <v>Pune</v>
      </c>
      <c r="O27" s="6" t="str">
        <f aca="false">IF(K27="","Not Rated",IF(K27&gt;=4.5,"Excellent",IF(K27&gt;=3.5,"Good",IF(K27&gt;=2.5,"Average","Poor"))))</f>
        <v>Average</v>
      </c>
      <c r="P27" s="6" t="str">
        <f aca="false">IF(AND(F27&gt;=3,H27&gt;=0.1),"Bulk &amp; Discounted",IF(OR(F27&gt;=5,I27&gt;800),"Large Order","Standard Order"))</f>
        <v>Bulk &amp; Discounted</v>
      </c>
      <c r="Q27" s="6" t="n">
        <f aca="false">IFERROR(G27/K27,"No Rating Yet")</f>
        <v>34.1379310344828</v>
      </c>
    </row>
    <row r="28" customFormat="false" ht="15" hidden="false" customHeight="false" outlineLevel="0" collapsed="false">
      <c r="A28" s="2" t="s">
        <v>69</v>
      </c>
      <c r="B28" s="2" t="s">
        <v>34</v>
      </c>
      <c r="C28" s="3" t="n">
        <v>45800</v>
      </c>
      <c r="D28" s="2" t="s">
        <v>43</v>
      </c>
      <c r="E28" s="2" t="s">
        <v>20</v>
      </c>
      <c r="F28" s="2" t="n">
        <v>2</v>
      </c>
      <c r="G28" s="4" t="n">
        <v>199</v>
      </c>
      <c r="H28" s="5" t="n">
        <v>0.05</v>
      </c>
      <c r="I28" s="4" t="n">
        <f aca="false">F28*G28*(1-H28)</f>
        <v>378.1</v>
      </c>
      <c r="J28" s="2" t="n">
        <v>18</v>
      </c>
      <c r="K28" s="2" t="n">
        <v>4.2</v>
      </c>
      <c r="L28" s="2" t="s">
        <v>50</v>
      </c>
      <c r="M28" s="6" t="str">
        <f aca="false">INDEX(Stores!$B$2:$B$13,MATCH(B28,Stores!$A$2:$A$13,0))</f>
        <v>Zomato - Indore Store</v>
      </c>
      <c r="N28" s="6" t="str">
        <f aca="false">INDEX(StoresTbl[City],MATCH(B28,StoresTbl[Store ID],0))</f>
        <v>Indore</v>
      </c>
      <c r="O28" s="6" t="str">
        <f aca="false">IF(K28="","Not Rated",IF(K28&gt;=4.5,"Excellent",IF(K28&gt;=3.5,"Good",IF(K28&gt;=2.5,"Average","Poor"))))</f>
        <v>Good</v>
      </c>
      <c r="P28" s="6" t="str">
        <f aca="false">IF(AND(F28&gt;=3,H28&gt;=0.1),"Bulk &amp; Discounted",IF(OR(F28&gt;=5,I28&gt;800),"Large Order","Standard Order"))</f>
        <v>Standard Order</v>
      </c>
      <c r="Q28" s="6" t="n">
        <f aca="false">IFERROR(G28/K28,"No Rating Yet")</f>
        <v>47.3809523809524</v>
      </c>
    </row>
    <row r="29" customFormat="false" ht="15" hidden="false" customHeight="false" outlineLevel="0" collapsed="false">
      <c r="A29" s="2" t="s">
        <v>70</v>
      </c>
      <c r="B29" s="2" t="s">
        <v>45</v>
      </c>
      <c r="C29" s="3" t="n">
        <v>45670</v>
      </c>
      <c r="D29" s="2" t="s">
        <v>71</v>
      </c>
      <c r="E29" s="2" t="s">
        <v>32</v>
      </c>
      <c r="F29" s="2" t="n">
        <v>5</v>
      </c>
      <c r="G29" s="4" t="n">
        <v>299</v>
      </c>
      <c r="H29" s="5" t="n">
        <v>0.05</v>
      </c>
      <c r="I29" s="4" t="n">
        <f aca="false">F29*G29*(1-H29)</f>
        <v>1420.25</v>
      </c>
      <c r="J29" s="2" t="n">
        <v>18</v>
      </c>
      <c r="K29" s="2" t="n">
        <v>4.6</v>
      </c>
      <c r="L29" s="2" t="s">
        <v>50</v>
      </c>
      <c r="M29" s="6" t="str">
        <f aca="false">INDEX(Stores!$B$2:$B$13,MATCH(B29,Stores!$A$2:$A$13,0))</f>
        <v>Zomato - Mumbai Store</v>
      </c>
      <c r="N29" s="6" t="str">
        <f aca="false">INDEX(StoresTbl[City],MATCH(B29,StoresTbl[Store ID],0))</f>
        <v>Mumbai</v>
      </c>
      <c r="O29" s="6" t="str">
        <f aca="false">IF(K29="","Not Rated",IF(K29&gt;=4.5,"Excellent",IF(K29&gt;=3.5,"Good",IF(K29&gt;=2.5,"Average","Poor"))))</f>
        <v>Excellent</v>
      </c>
      <c r="P29" s="6" t="str">
        <f aca="false">IF(AND(F29&gt;=3,H29&gt;=0.1),"Bulk &amp; Discounted",IF(OR(F29&gt;=5,I29&gt;800),"Large Order","Standard Order"))</f>
        <v>Large Order</v>
      </c>
      <c r="Q29" s="6" t="n">
        <f aca="false">IFERROR(G29/K29,"No Rating Yet")</f>
        <v>65</v>
      </c>
    </row>
    <row r="30" customFormat="false" ht="15" hidden="false" customHeight="false" outlineLevel="0" collapsed="false">
      <c r="A30" s="2" t="s">
        <v>72</v>
      </c>
      <c r="B30" s="2" t="s">
        <v>23</v>
      </c>
      <c r="C30" s="3" t="n">
        <v>45810</v>
      </c>
      <c r="D30" s="2" t="s">
        <v>31</v>
      </c>
      <c r="E30" s="2" t="s">
        <v>20</v>
      </c>
      <c r="F30" s="2" t="n">
        <v>4</v>
      </c>
      <c r="G30" s="4" t="n">
        <v>129</v>
      </c>
      <c r="H30" s="5" t="n">
        <v>0.2</v>
      </c>
      <c r="I30" s="4" t="n">
        <f aca="false">F30*G30*(1-H30)</f>
        <v>412.8</v>
      </c>
      <c r="J30" s="2" t="n">
        <v>30</v>
      </c>
      <c r="K30" s="2" t="n">
        <v>3.9</v>
      </c>
      <c r="L30" s="2" t="s">
        <v>50</v>
      </c>
      <c r="M30" s="6" t="str">
        <f aca="false">INDEX(Stores!$B$2:$B$13,MATCH(B30,Stores!$A$2:$A$13,0))</f>
        <v>Zomato - Delhi Store</v>
      </c>
      <c r="N30" s="6" t="str">
        <f aca="false">INDEX(StoresTbl[City],MATCH(B30,StoresTbl[Store ID],0))</f>
        <v>Delhi</v>
      </c>
      <c r="O30" s="6" t="str">
        <f aca="false">IF(K30="","Not Rated",IF(K30&gt;=4.5,"Excellent",IF(K30&gt;=3.5,"Good",IF(K30&gt;=2.5,"Average","Poor"))))</f>
        <v>Good</v>
      </c>
      <c r="P30" s="6" t="str">
        <f aca="false">IF(AND(F30&gt;=3,H30&gt;=0.1),"Bulk &amp; Discounted",IF(OR(F30&gt;=5,I30&gt;800),"Large Order","Standard Order"))</f>
        <v>Bulk &amp; Discounted</v>
      </c>
      <c r="Q30" s="6" t="n">
        <f aca="false">IFERROR(G30/K30,"No Rating Yet")</f>
        <v>33.0769230769231</v>
      </c>
    </row>
    <row r="31" customFormat="false" ht="15" hidden="false" customHeight="false" outlineLevel="0" collapsed="false">
      <c r="A31" s="2" t="s">
        <v>73</v>
      </c>
      <c r="B31" s="2" t="s">
        <v>48</v>
      </c>
      <c r="C31" s="3" t="n">
        <v>45826</v>
      </c>
      <c r="D31" s="2" t="s">
        <v>71</v>
      </c>
      <c r="E31" s="2" t="s">
        <v>32</v>
      </c>
      <c r="F31" s="2" t="n">
        <v>3</v>
      </c>
      <c r="G31" s="4" t="n">
        <v>179</v>
      </c>
      <c r="H31" s="5" t="n">
        <v>0.1</v>
      </c>
      <c r="I31" s="4" t="n">
        <f aca="false">F31*G31*(1-H31)</f>
        <v>483.3</v>
      </c>
      <c r="J31" s="2" t="n">
        <v>30</v>
      </c>
      <c r="K31" s="2" t="n">
        <v>3.2</v>
      </c>
      <c r="L31" s="2" t="s">
        <v>28</v>
      </c>
      <c r="M31" s="6" t="str">
        <f aca="false">INDEX(Stores!$B$2:$B$13,MATCH(B31,Stores!$A$2:$A$13,0))</f>
        <v>Zomato - Kolkata Store</v>
      </c>
      <c r="N31" s="6" t="str">
        <f aca="false">INDEX(StoresTbl[City],MATCH(B31,StoresTbl[Store ID],0))</f>
        <v>Kolkata</v>
      </c>
      <c r="O31" s="6" t="str">
        <f aca="false">IF(K31="","Not Rated",IF(K31&gt;=4.5,"Excellent",IF(K31&gt;=3.5,"Good",IF(K31&gt;=2.5,"Average","Poor"))))</f>
        <v>Average</v>
      </c>
      <c r="P31" s="6" t="str">
        <f aca="false">IF(AND(F31&gt;=3,H31&gt;=0.1),"Bulk &amp; Discounted",IF(OR(F31&gt;=5,I31&gt;800),"Large Order","Standard Order"))</f>
        <v>Bulk &amp; Discounted</v>
      </c>
      <c r="Q31" s="6" t="n">
        <f aca="false">IFERROR(G31/K31,"No Rating Yet")</f>
        <v>55.9375</v>
      </c>
    </row>
    <row r="32" customFormat="false" ht="15" hidden="false" customHeight="false" outlineLevel="0" collapsed="false">
      <c r="A32" s="2" t="s">
        <v>74</v>
      </c>
      <c r="B32" s="2" t="s">
        <v>39</v>
      </c>
      <c r="C32" s="3" t="n">
        <v>45823</v>
      </c>
      <c r="D32" s="2" t="s">
        <v>27</v>
      </c>
      <c r="E32" s="2" t="s">
        <v>32</v>
      </c>
      <c r="F32" s="2" t="n">
        <v>3</v>
      </c>
      <c r="G32" s="4" t="n">
        <v>499</v>
      </c>
      <c r="H32" s="5" t="n">
        <v>0</v>
      </c>
      <c r="I32" s="4" t="n">
        <f aca="false">F32*G32*(1-H32)</f>
        <v>1497</v>
      </c>
      <c r="J32" s="2" t="n">
        <v>15</v>
      </c>
      <c r="K32" s="2" t="n">
        <v>3.9</v>
      </c>
      <c r="L32" s="2" t="s">
        <v>21</v>
      </c>
      <c r="M32" s="6" t="str">
        <f aca="false">INDEX(Stores!$B$2:$B$13,MATCH(B32,Stores!$A$2:$A$13,0))</f>
        <v>Zomato - Chandigarh Store</v>
      </c>
      <c r="N32" s="6" t="str">
        <f aca="false">INDEX(StoresTbl[City],MATCH(B32,StoresTbl[Store ID],0))</f>
        <v>Chandigarh</v>
      </c>
      <c r="O32" s="6" t="str">
        <f aca="false">IF(K32="","Not Rated",IF(K32&gt;=4.5,"Excellent",IF(K32&gt;=3.5,"Good",IF(K32&gt;=2.5,"Average","Poor"))))</f>
        <v>Good</v>
      </c>
      <c r="P32" s="6" t="str">
        <f aca="false">IF(AND(F32&gt;=3,H32&gt;=0.1),"Bulk &amp; Discounted",IF(OR(F32&gt;=5,I32&gt;800),"Large Order","Standard Order"))</f>
        <v>Large Order</v>
      </c>
      <c r="Q32" s="6" t="n">
        <f aca="false">IFERROR(G32/K32,"No Rating Yet")</f>
        <v>127.948717948718</v>
      </c>
    </row>
    <row r="33" customFormat="false" ht="15" hidden="false" customHeight="false" outlineLevel="0" collapsed="false">
      <c r="A33" s="2" t="s">
        <v>75</v>
      </c>
      <c r="B33" s="2" t="s">
        <v>76</v>
      </c>
      <c r="C33" s="3" t="n">
        <v>45683</v>
      </c>
      <c r="D33" s="2" t="s">
        <v>31</v>
      </c>
      <c r="E33" s="2" t="s">
        <v>20</v>
      </c>
      <c r="F33" s="2" t="n">
        <v>5</v>
      </c>
      <c r="G33" s="4" t="n">
        <v>199</v>
      </c>
      <c r="H33" s="5" t="n">
        <v>0.05</v>
      </c>
      <c r="I33" s="4" t="n">
        <f aca="false">F33*G33*(1-H33)</f>
        <v>945.25</v>
      </c>
      <c r="J33" s="2" t="n">
        <v>37</v>
      </c>
      <c r="K33" s="2" t="n">
        <v>4.6</v>
      </c>
      <c r="L33" s="2" t="s">
        <v>50</v>
      </c>
      <c r="M33" s="6" t="str">
        <f aca="false">INDEX(Stores!$B$2:$B$13,MATCH(B33,Stores!$A$2:$A$13,0))</f>
        <v>Zomato - Lucknow Store</v>
      </c>
      <c r="N33" s="6" t="str">
        <f aca="false">INDEX(StoresTbl[City],MATCH(B33,StoresTbl[Store ID],0))</f>
        <v>Lucknow</v>
      </c>
      <c r="O33" s="6" t="str">
        <f aca="false">IF(K33="","Not Rated",IF(K33&gt;=4.5,"Excellent",IF(K33&gt;=3.5,"Good",IF(K33&gt;=2.5,"Average","Poor"))))</f>
        <v>Excellent</v>
      </c>
      <c r="P33" s="6" t="str">
        <f aca="false">IF(AND(F33&gt;=3,H33&gt;=0.1),"Bulk &amp; Discounted",IF(OR(F33&gt;=5,I33&gt;800),"Large Order","Standard Order"))</f>
        <v>Large Order</v>
      </c>
      <c r="Q33" s="6" t="n">
        <f aca="false">IFERROR(G33/K33,"No Rating Yet")</f>
        <v>43.2608695652174</v>
      </c>
    </row>
    <row r="34" customFormat="false" ht="15" hidden="false" customHeight="false" outlineLevel="0" collapsed="false">
      <c r="A34" s="2" t="s">
        <v>77</v>
      </c>
      <c r="B34" s="2" t="s">
        <v>30</v>
      </c>
      <c r="C34" s="3" t="n">
        <v>45730</v>
      </c>
      <c r="D34" s="2" t="s">
        <v>40</v>
      </c>
      <c r="E34" s="2" t="s">
        <v>32</v>
      </c>
      <c r="F34" s="2" t="n">
        <v>5</v>
      </c>
      <c r="G34" s="4" t="n">
        <v>449</v>
      </c>
      <c r="H34" s="5" t="n">
        <v>0.1</v>
      </c>
      <c r="I34" s="4" t="n">
        <f aca="false">F34*G34*(1-H34)</f>
        <v>2020.5</v>
      </c>
      <c r="J34" s="2" t="n">
        <v>54</v>
      </c>
      <c r="K34" s="2" t="n">
        <v>4</v>
      </c>
      <c r="L34" s="2" t="s">
        <v>50</v>
      </c>
      <c r="M34" s="6" t="str">
        <f aca="false">INDEX(Stores!$B$2:$B$13,MATCH(B34,Stores!$A$2:$A$13,0))</f>
        <v>Zomato - Chennai Store</v>
      </c>
      <c r="N34" s="6" t="str">
        <f aca="false">INDEX(StoresTbl[City],MATCH(B34,StoresTbl[Store ID],0))</f>
        <v>Chennai</v>
      </c>
      <c r="O34" s="6" t="str">
        <f aca="false">IF(K34="","Not Rated",IF(K34&gt;=4.5,"Excellent",IF(K34&gt;=3.5,"Good",IF(K34&gt;=2.5,"Average","Poor"))))</f>
        <v>Good</v>
      </c>
      <c r="P34" s="6" t="str">
        <f aca="false">IF(AND(F34&gt;=3,H34&gt;=0.1),"Bulk &amp; Discounted",IF(OR(F34&gt;=5,I34&gt;800),"Large Order","Standard Order"))</f>
        <v>Bulk &amp; Discounted</v>
      </c>
      <c r="Q34" s="6" t="n">
        <f aca="false">IFERROR(G34/K34,"No Rating Yet")</f>
        <v>112.25</v>
      </c>
    </row>
    <row r="35" customFormat="false" ht="15" hidden="false" customHeight="false" outlineLevel="0" collapsed="false">
      <c r="A35" s="2" t="s">
        <v>78</v>
      </c>
      <c r="B35" s="2" t="s">
        <v>53</v>
      </c>
      <c r="C35" s="3" t="n">
        <v>45734</v>
      </c>
      <c r="D35" s="2" t="s">
        <v>31</v>
      </c>
      <c r="E35" s="2" t="s">
        <v>20</v>
      </c>
      <c r="F35" s="2" t="n">
        <v>3</v>
      </c>
      <c r="G35" s="4" t="n">
        <v>129</v>
      </c>
      <c r="H35" s="5" t="n">
        <v>0</v>
      </c>
      <c r="I35" s="4" t="n">
        <f aca="false">F35*G35*(1-H35)</f>
        <v>387</v>
      </c>
      <c r="J35" s="2" t="n">
        <v>50</v>
      </c>
      <c r="K35" s="2" t="n">
        <v>2.8</v>
      </c>
      <c r="L35" s="2" t="s">
        <v>24</v>
      </c>
      <c r="M35" s="6" t="str">
        <f aca="false">INDEX(Stores!$B$2:$B$13,MATCH(B35,Stores!$A$2:$A$13,0))</f>
        <v>Zomato - Jaipur Store</v>
      </c>
      <c r="N35" s="6" t="str">
        <f aca="false">INDEX(StoresTbl[City],MATCH(B35,StoresTbl[Store ID],0))</f>
        <v>Jaipur</v>
      </c>
      <c r="O35" s="6" t="str">
        <f aca="false">IF(K35="","Not Rated",IF(K35&gt;=4.5,"Excellent",IF(K35&gt;=3.5,"Good",IF(K35&gt;=2.5,"Average","Poor"))))</f>
        <v>Average</v>
      </c>
      <c r="P35" s="6" t="str">
        <f aca="false">IF(AND(F35&gt;=3,H35&gt;=0.1),"Bulk &amp; Discounted",IF(OR(F35&gt;=5,I35&gt;800),"Large Order","Standard Order"))</f>
        <v>Standard Order</v>
      </c>
      <c r="Q35" s="6" t="n">
        <f aca="false">IFERROR(G35/K35,"No Rating Yet")</f>
        <v>46.0714285714286</v>
      </c>
    </row>
    <row r="36" customFormat="false" ht="15" hidden="false" customHeight="false" outlineLevel="0" collapsed="false">
      <c r="A36" s="2" t="s">
        <v>79</v>
      </c>
      <c r="B36" s="2" t="s">
        <v>76</v>
      </c>
      <c r="C36" s="3" t="n">
        <v>45711</v>
      </c>
      <c r="D36" s="2" t="s">
        <v>61</v>
      </c>
      <c r="E36" s="2" t="s">
        <v>20</v>
      </c>
      <c r="F36" s="2" t="n">
        <v>6</v>
      </c>
      <c r="G36" s="4" t="n">
        <v>399</v>
      </c>
      <c r="H36" s="5" t="n">
        <v>0.1</v>
      </c>
      <c r="I36" s="4" t="n">
        <f aca="false">F36*G36*(1-H36)</f>
        <v>2154.6</v>
      </c>
      <c r="J36" s="2" t="n">
        <v>47</v>
      </c>
      <c r="K36" s="2" t="n">
        <v>2.8</v>
      </c>
      <c r="L36" s="2" t="s">
        <v>21</v>
      </c>
      <c r="M36" s="6" t="str">
        <f aca="false">INDEX(Stores!$B$2:$B$13,MATCH(B36,Stores!$A$2:$A$13,0))</f>
        <v>Zomato - Lucknow Store</v>
      </c>
      <c r="N36" s="6" t="str">
        <f aca="false">INDEX(StoresTbl[City],MATCH(B36,StoresTbl[Store ID],0))</f>
        <v>Lucknow</v>
      </c>
      <c r="O36" s="6" t="str">
        <f aca="false">IF(K36="","Not Rated",IF(K36&gt;=4.5,"Excellent",IF(K36&gt;=3.5,"Good",IF(K36&gt;=2.5,"Average","Poor"))))</f>
        <v>Average</v>
      </c>
      <c r="P36" s="6" t="str">
        <f aca="false">IF(AND(F36&gt;=3,H36&gt;=0.1),"Bulk &amp; Discounted",IF(OR(F36&gt;=5,I36&gt;800),"Large Order","Standard Order"))</f>
        <v>Bulk &amp; Discounted</v>
      </c>
      <c r="Q36" s="6" t="n">
        <f aca="false">IFERROR(G36/K36,"No Rating Yet")</f>
        <v>142.5</v>
      </c>
    </row>
    <row r="37" customFormat="false" ht="15" hidden="false" customHeight="false" outlineLevel="0" collapsed="false">
      <c r="A37" s="2" t="s">
        <v>80</v>
      </c>
      <c r="B37" s="2" t="s">
        <v>45</v>
      </c>
      <c r="C37" s="3" t="n">
        <v>45681</v>
      </c>
      <c r="D37" s="2" t="s">
        <v>49</v>
      </c>
      <c r="E37" s="2" t="s">
        <v>32</v>
      </c>
      <c r="F37" s="2" t="n">
        <v>1</v>
      </c>
      <c r="G37" s="4" t="n">
        <v>99</v>
      </c>
      <c r="H37" s="5" t="n">
        <v>0.1</v>
      </c>
      <c r="I37" s="4" t="n">
        <f aca="false">F37*G37*(1-H37)</f>
        <v>89.1</v>
      </c>
      <c r="J37" s="2" t="n">
        <v>23</v>
      </c>
      <c r="K37" s="2" t="n">
        <v>2.5</v>
      </c>
      <c r="L37" s="2" t="s">
        <v>28</v>
      </c>
      <c r="M37" s="6" t="str">
        <f aca="false">INDEX(Stores!$B$2:$B$13,MATCH(B37,Stores!$A$2:$A$13,0))</f>
        <v>Zomato - Mumbai Store</v>
      </c>
      <c r="N37" s="6" t="str">
        <f aca="false">INDEX(StoresTbl[City],MATCH(B37,StoresTbl[Store ID],0))</f>
        <v>Mumbai</v>
      </c>
      <c r="O37" s="6" t="str">
        <f aca="false">IF(K37="","Not Rated",IF(K37&gt;=4.5,"Excellent",IF(K37&gt;=3.5,"Good",IF(K37&gt;=2.5,"Average","Poor"))))</f>
        <v>Average</v>
      </c>
      <c r="P37" s="6" t="str">
        <f aca="false">IF(AND(F37&gt;=3,H37&gt;=0.1),"Bulk &amp; Discounted",IF(OR(F37&gt;=5,I37&gt;800),"Large Order","Standard Order"))</f>
        <v>Standard Order</v>
      </c>
      <c r="Q37" s="6" t="n">
        <f aca="false">IFERROR(G37/K37,"No Rating Yet")</f>
        <v>39.6</v>
      </c>
    </row>
    <row r="38" customFormat="false" ht="15" hidden="false" customHeight="false" outlineLevel="0" collapsed="false">
      <c r="A38" s="2" t="s">
        <v>81</v>
      </c>
      <c r="B38" s="2" t="s">
        <v>26</v>
      </c>
      <c r="C38" s="3" t="n">
        <v>45799</v>
      </c>
      <c r="D38" s="2" t="s">
        <v>49</v>
      </c>
      <c r="E38" s="2" t="s">
        <v>20</v>
      </c>
      <c r="F38" s="2" t="n">
        <v>1</v>
      </c>
      <c r="G38" s="4" t="n">
        <v>129</v>
      </c>
      <c r="H38" s="5" t="n">
        <v>0.05</v>
      </c>
      <c r="I38" s="4" t="n">
        <f aca="false">F38*G38*(1-H38)</f>
        <v>122.55</v>
      </c>
      <c r="J38" s="2" t="n">
        <v>49</v>
      </c>
      <c r="K38" s="2" t="n">
        <v>4.5</v>
      </c>
      <c r="L38" s="2" t="s">
        <v>50</v>
      </c>
      <c r="M38" s="6" t="str">
        <f aca="false">INDEX(Stores!$B$2:$B$13,MATCH(B38,Stores!$A$2:$A$13,0))</f>
        <v>Zomato - Ahmedabad Store</v>
      </c>
      <c r="N38" s="6" t="str">
        <f aca="false">INDEX(StoresTbl[City],MATCH(B38,StoresTbl[Store ID],0))</f>
        <v>Ahmedabad</v>
      </c>
      <c r="O38" s="6" t="str">
        <f aca="false">IF(K38="","Not Rated",IF(K38&gt;=4.5,"Excellent",IF(K38&gt;=3.5,"Good",IF(K38&gt;=2.5,"Average","Poor"))))</f>
        <v>Excellent</v>
      </c>
      <c r="P38" s="6" t="str">
        <f aca="false">IF(AND(F38&gt;=3,H38&gt;=0.1),"Bulk &amp; Discounted",IF(OR(F38&gt;=5,I38&gt;800),"Large Order","Standard Order"))</f>
        <v>Standard Order</v>
      </c>
      <c r="Q38" s="6" t="n">
        <f aca="false">IFERROR(G38/K38,"No Rating Yet")</f>
        <v>28.6666666666667</v>
      </c>
    </row>
    <row r="39" customFormat="false" ht="15" hidden="false" customHeight="false" outlineLevel="0" collapsed="false">
      <c r="A39" s="2" t="s">
        <v>82</v>
      </c>
      <c r="B39" s="2" t="s">
        <v>76</v>
      </c>
      <c r="C39" s="3" t="n">
        <v>45799</v>
      </c>
      <c r="D39" s="2" t="s">
        <v>40</v>
      </c>
      <c r="E39" s="2" t="s">
        <v>32</v>
      </c>
      <c r="F39" s="2" t="n">
        <v>2</v>
      </c>
      <c r="G39" s="4" t="n">
        <v>99</v>
      </c>
      <c r="H39" s="5" t="n">
        <v>0.1</v>
      </c>
      <c r="I39" s="4" t="n">
        <f aca="false">F39*G39*(1-H39)</f>
        <v>178.2</v>
      </c>
      <c r="J39" s="2" t="n">
        <v>38</v>
      </c>
      <c r="K39" s="2" t="n">
        <v>4.7</v>
      </c>
      <c r="L39" s="2" t="s">
        <v>50</v>
      </c>
      <c r="M39" s="6" t="str">
        <f aca="false">INDEX(Stores!$B$2:$B$13,MATCH(B39,Stores!$A$2:$A$13,0))</f>
        <v>Zomato - Lucknow Store</v>
      </c>
      <c r="N39" s="6" t="str">
        <f aca="false">INDEX(StoresTbl[City],MATCH(B39,StoresTbl[Store ID],0))</f>
        <v>Lucknow</v>
      </c>
      <c r="O39" s="6" t="str">
        <f aca="false">IF(K39="","Not Rated",IF(K39&gt;=4.5,"Excellent",IF(K39&gt;=3.5,"Good",IF(K39&gt;=2.5,"Average","Poor"))))</f>
        <v>Excellent</v>
      </c>
      <c r="P39" s="6" t="str">
        <f aca="false">IF(AND(F39&gt;=3,H39&gt;=0.1),"Bulk &amp; Discounted",IF(OR(F39&gt;=5,I39&gt;800),"Large Order","Standard Order"))</f>
        <v>Standard Order</v>
      </c>
      <c r="Q39" s="6" t="n">
        <f aca="false">IFERROR(G39/K39,"No Rating Yet")</f>
        <v>21.063829787234</v>
      </c>
    </row>
    <row r="40" customFormat="false" ht="15" hidden="false" customHeight="false" outlineLevel="0" collapsed="false">
      <c r="A40" s="2" t="s">
        <v>83</v>
      </c>
      <c r="B40" s="2" t="s">
        <v>42</v>
      </c>
      <c r="C40" s="3" t="n">
        <v>45832</v>
      </c>
      <c r="D40" s="2" t="s">
        <v>19</v>
      </c>
      <c r="E40" s="2" t="s">
        <v>20</v>
      </c>
      <c r="F40" s="2" t="n">
        <v>3</v>
      </c>
      <c r="G40" s="4" t="n">
        <v>499</v>
      </c>
      <c r="H40" s="5" t="n">
        <v>0.2</v>
      </c>
      <c r="I40" s="4" t="n">
        <f aca="false">F40*G40*(1-H40)</f>
        <v>1197.6</v>
      </c>
      <c r="J40" s="2" t="n">
        <v>41</v>
      </c>
      <c r="K40" s="2" t="n">
        <v>4.8</v>
      </c>
      <c r="L40" s="2" t="s">
        <v>24</v>
      </c>
      <c r="M40" s="6" t="str">
        <f aca="false">INDEX(Stores!$B$2:$B$13,MATCH(B40,Stores!$A$2:$A$13,0))</f>
        <v>Zomato - Pune Store</v>
      </c>
      <c r="N40" s="6" t="str">
        <f aca="false">INDEX(StoresTbl[City],MATCH(B40,StoresTbl[Store ID],0))</f>
        <v>Pune</v>
      </c>
      <c r="O40" s="6" t="str">
        <f aca="false">IF(K40="","Not Rated",IF(K40&gt;=4.5,"Excellent",IF(K40&gt;=3.5,"Good",IF(K40&gt;=2.5,"Average","Poor"))))</f>
        <v>Excellent</v>
      </c>
      <c r="P40" s="6" t="str">
        <f aca="false">IF(AND(F40&gt;=3,H40&gt;=0.1),"Bulk &amp; Discounted",IF(OR(F40&gt;=5,I40&gt;800),"Large Order","Standard Order"))</f>
        <v>Bulk &amp; Discounted</v>
      </c>
      <c r="Q40" s="6" t="n">
        <f aca="false">IFERROR(G40/K40,"No Rating Yet")</f>
        <v>103.958333333333</v>
      </c>
    </row>
    <row r="41" customFormat="false" ht="15" hidden="false" customHeight="false" outlineLevel="0" collapsed="false">
      <c r="A41" s="2" t="s">
        <v>84</v>
      </c>
      <c r="B41" s="2" t="s">
        <v>42</v>
      </c>
      <c r="C41" s="3" t="n">
        <v>45699</v>
      </c>
      <c r="D41" s="2" t="s">
        <v>40</v>
      </c>
      <c r="E41" s="2" t="s">
        <v>32</v>
      </c>
      <c r="F41" s="2" t="n">
        <v>1</v>
      </c>
      <c r="G41" s="4" t="n">
        <v>149</v>
      </c>
      <c r="H41" s="5" t="n">
        <v>0.1</v>
      </c>
      <c r="I41" s="4" t="n">
        <f aca="false">F41*G41*(1-H41)</f>
        <v>134.1</v>
      </c>
      <c r="J41" s="2" t="n">
        <v>41</v>
      </c>
      <c r="K41" s="2" t="n">
        <v>2.8</v>
      </c>
      <c r="L41" s="2" t="s">
        <v>24</v>
      </c>
      <c r="M41" s="6" t="str">
        <f aca="false">INDEX(Stores!$B$2:$B$13,MATCH(B41,Stores!$A$2:$A$13,0))</f>
        <v>Zomato - Pune Store</v>
      </c>
      <c r="N41" s="6" t="str">
        <f aca="false">INDEX(StoresTbl[City],MATCH(B41,StoresTbl[Store ID],0))</f>
        <v>Pune</v>
      </c>
      <c r="O41" s="6" t="str">
        <f aca="false">IF(K41="","Not Rated",IF(K41&gt;=4.5,"Excellent",IF(K41&gt;=3.5,"Good",IF(K41&gt;=2.5,"Average","Poor"))))</f>
        <v>Average</v>
      </c>
      <c r="P41" s="6" t="str">
        <f aca="false">IF(AND(F41&gt;=3,H41&gt;=0.1),"Bulk &amp; Discounted",IF(OR(F41&gt;=5,I41&gt;800),"Large Order","Standard Order"))</f>
        <v>Standard Order</v>
      </c>
      <c r="Q41" s="6" t="n">
        <f aca="false">IFERROR(G41/K41,"No Rating Yet")</f>
        <v>53.2142857142857</v>
      </c>
    </row>
    <row r="42" customFormat="false" ht="15" hidden="false" customHeight="false" outlineLevel="0" collapsed="false">
      <c r="A42" s="2" t="s">
        <v>85</v>
      </c>
      <c r="B42" s="2" t="s">
        <v>34</v>
      </c>
      <c r="C42" s="3" t="n">
        <v>45685</v>
      </c>
      <c r="D42" s="2" t="s">
        <v>49</v>
      </c>
      <c r="E42" s="2" t="s">
        <v>20</v>
      </c>
      <c r="F42" s="2" t="n">
        <v>4</v>
      </c>
      <c r="G42" s="4" t="n">
        <v>179</v>
      </c>
      <c r="H42" s="5" t="n">
        <v>0.05</v>
      </c>
      <c r="I42" s="4" t="n">
        <f aca="false">F42*G42*(1-H42)</f>
        <v>680.2</v>
      </c>
      <c r="J42" s="2" t="n">
        <v>44</v>
      </c>
      <c r="K42" s="2"/>
      <c r="L42" s="2" t="s">
        <v>28</v>
      </c>
      <c r="M42" s="6" t="str">
        <f aca="false">INDEX(Stores!$B$2:$B$13,MATCH(B42,Stores!$A$2:$A$13,0))</f>
        <v>Zomato - Indore Store</v>
      </c>
      <c r="N42" s="6" t="str">
        <f aca="false">INDEX(StoresTbl[City],MATCH(B42,StoresTbl[Store ID],0))</f>
        <v>Indore</v>
      </c>
      <c r="O42" s="6" t="str">
        <f aca="false">IF(K42="","Not Rated",IF(K42&gt;=4.5,"Excellent",IF(K42&gt;=3.5,"Good",IF(K42&gt;=2.5,"Average","Poor"))))</f>
        <v>Not Rated</v>
      </c>
      <c r="P42" s="6" t="str">
        <f aca="false">IF(AND(F42&gt;=3,H42&gt;=0.1),"Bulk &amp; Discounted",IF(OR(F42&gt;=5,I42&gt;800),"Large Order","Standard Order"))</f>
        <v>Standard Order</v>
      </c>
      <c r="Q42" s="6" t="str">
        <f aca="false">IFERROR(G42/K42,"No Rating Yet")</f>
        <v>No Rating Yet</v>
      </c>
    </row>
    <row r="43" customFormat="false" ht="15" hidden="false" customHeight="false" outlineLevel="0" collapsed="false">
      <c r="A43" s="2" t="s">
        <v>86</v>
      </c>
      <c r="B43" s="2" t="s">
        <v>18</v>
      </c>
      <c r="C43" s="3" t="n">
        <v>45716</v>
      </c>
      <c r="D43" s="2" t="s">
        <v>19</v>
      </c>
      <c r="E43" s="2" t="s">
        <v>20</v>
      </c>
      <c r="F43" s="2" t="n">
        <v>6</v>
      </c>
      <c r="G43" s="4" t="n">
        <v>179</v>
      </c>
      <c r="H43" s="5" t="n">
        <v>0.15</v>
      </c>
      <c r="I43" s="4" t="n">
        <f aca="false">F43*G43*(1-H43)</f>
        <v>912.9</v>
      </c>
      <c r="J43" s="2" t="n">
        <v>36</v>
      </c>
      <c r="K43" s="2" t="n">
        <v>4.6</v>
      </c>
      <c r="L43" s="2" t="s">
        <v>28</v>
      </c>
      <c r="M43" s="6" t="str">
        <f aca="false">INDEX(Stores!$B$2:$B$13,MATCH(B43,Stores!$A$2:$A$13,0))</f>
        <v>Zomato - Hyderabad Store</v>
      </c>
      <c r="N43" s="6" t="str">
        <f aca="false">INDEX(StoresTbl[City],MATCH(B43,StoresTbl[Store ID],0))</f>
        <v>Hyderabad</v>
      </c>
      <c r="O43" s="6" t="str">
        <f aca="false">IF(K43="","Not Rated",IF(K43&gt;=4.5,"Excellent",IF(K43&gt;=3.5,"Good",IF(K43&gt;=2.5,"Average","Poor"))))</f>
        <v>Excellent</v>
      </c>
      <c r="P43" s="6" t="str">
        <f aca="false">IF(AND(F43&gt;=3,H43&gt;=0.1),"Bulk &amp; Discounted",IF(OR(F43&gt;=5,I43&gt;800),"Large Order","Standard Order"))</f>
        <v>Bulk &amp; Discounted</v>
      </c>
      <c r="Q43" s="6" t="n">
        <f aca="false">IFERROR(G43/K43,"No Rating Yet")</f>
        <v>38.9130434782609</v>
      </c>
    </row>
    <row r="44" customFormat="false" ht="15" hidden="false" customHeight="false" outlineLevel="0" collapsed="false">
      <c r="A44" s="2" t="s">
        <v>87</v>
      </c>
      <c r="B44" s="2" t="s">
        <v>18</v>
      </c>
      <c r="C44" s="3" t="n">
        <v>45747</v>
      </c>
      <c r="D44" s="2" t="s">
        <v>35</v>
      </c>
      <c r="E44" s="2" t="s">
        <v>32</v>
      </c>
      <c r="F44" s="2" t="n">
        <v>6</v>
      </c>
      <c r="G44" s="4" t="n">
        <v>299</v>
      </c>
      <c r="H44" s="5" t="n">
        <v>0.1</v>
      </c>
      <c r="I44" s="4" t="n">
        <f aca="false">F44*G44*(1-H44)</f>
        <v>1614.6</v>
      </c>
      <c r="J44" s="2" t="n">
        <v>16</v>
      </c>
      <c r="K44" s="2" t="n">
        <v>4.6</v>
      </c>
      <c r="L44" s="2" t="s">
        <v>50</v>
      </c>
      <c r="M44" s="6" t="str">
        <f aca="false">INDEX(Stores!$B$2:$B$13,MATCH(B44,Stores!$A$2:$A$13,0))</f>
        <v>Zomato - Hyderabad Store</v>
      </c>
      <c r="N44" s="6" t="str">
        <f aca="false">INDEX(StoresTbl[City],MATCH(B44,StoresTbl[Store ID],0))</f>
        <v>Hyderabad</v>
      </c>
      <c r="O44" s="6" t="str">
        <f aca="false">IF(K44="","Not Rated",IF(K44&gt;=4.5,"Excellent",IF(K44&gt;=3.5,"Good",IF(K44&gt;=2.5,"Average","Poor"))))</f>
        <v>Excellent</v>
      </c>
      <c r="P44" s="6" t="str">
        <f aca="false">IF(AND(F44&gt;=3,H44&gt;=0.1),"Bulk &amp; Discounted",IF(OR(F44&gt;=5,I44&gt;800),"Large Order","Standard Order"))</f>
        <v>Bulk &amp; Discounted</v>
      </c>
      <c r="Q44" s="6" t="n">
        <f aca="false">IFERROR(G44/K44,"No Rating Yet")</f>
        <v>65</v>
      </c>
    </row>
    <row r="45" customFormat="false" ht="15" hidden="false" customHeight="false" outlineLevel="0" collapsed="false">
      <c r="A45" s="2" t="s">
        <v>88</v>
      </c>
      <c r="B45" s="2" t="s">
        <v>18</v>
      </c>
      <c r="C45" s="3" t="n">
        <v>45703</v>
      </c>
      <c r="D45" s="2" t="s">
        <v>71</v>
      </c>
      <c r="E45" s="2" t="s">
        <v>32</v>
      </c>
      <c r="F45" s="2" t="n">
        <v>1</v>
      </c>
      <c r="G45" s="4" t="n">
        <v>129</v>
      </c>
      <c r="H45" s="5" t="n">
        <v>0.2</v>
      </c>
      <c r="I45" s="4" t="n">
        <f aca="false">F45*G45*(1-H45)</f>
        <v>103.2</v>
      </c>
      <c r="J45" s="2" t="n">
        <v>42</v>
      </c>
      <c r="K45" s="2" t="n">
        <v>4.2</v>
      </c>
      <c r="L45" s="2" t="s">
        <v>28</v>
      </c>
      <c r="M45" s="6" t="str">
        <f aca="false">INDEX(Stores!$B$2:$B$13,MATCH(B45,Stores!$A$2:$A$13,0))</f>
        <v>Zomato - Hyderabad Store</v>
      </c>
      <c r="N45" s="6" t="str">
        <f aca="false">INDEX(StoresTbl[City],MATCH(B45,StoresTbl[Store ID],0))</f>
        <v>Hyderabad</v>
      </c>
      <c r="O45" s="6" t="str">
        <f aca="false">IF(K45="","Not Rated",IF(K45&gt;=4.5,"Excellent",IF(K45&gt;=3.5,"Good",IF(K45&gt;=2.5,"Average","Poor"))))</f>
        <v>Good</v>
      </c>
      <c r="P45" s="6" t="str">
        <f aca="false">IF(AND(F45&gt;=3,H45&gt;=0.1),"Bulk &amp; Discounted",IF(OR(F45&gt;=5,I45&gt;800),"Large Order","Standard Order"))</f>
        <v>Standard Order</v>
      </c>
      <c r="Q45" s="6" t="n">
        <f aca="false">IFERROR(G45/K45,"No Rating Yet")</f>
        <v>30.7142857142857</v>
      </c>
    </row>
    <row r="46" customFormat="false" ht="15" hidden="false" customHeight="false" outlineLevel="0" collapsed="false">
      <c r="A46" s="2" t="s">
        <v>89</v>
      </c>
      <c r="B46" s="2" t="s">
        <v>30</v>
      </c>
      <c r="C46" s="3" t="n">
        <v>45769</v>
      </c>
      <c r="D46" s="2" t="s">
        <v>71</v>
      </c>
      <c r="E46" s="2" t="s">
        <v>20</v>
      </c>
      <c r="F46" s="2" t="n">
        <v>4</v>
      </c>
      <c r="G46" s="4" t="n">
        <v>349</v>
      </c>
      <c r="H46" s="5" t="n">
        <v>0.05</v>
      </c>
      <c r="I46" s="4" t="n">
        <f aca="false">F46*G46*(1-H46)</f>
        <v>1326.2</v>
      </c>
      <c r="J46" s="2" t="n">
        <v>31</v>
      </c>
      <c r="K46" s="2" t="n">
        <v>4.1</v>
      </c>
      <c r="L46" s="2" t="s">
        <v>50</v>
      </c>
      <c r="M46" s="6" t="str">
        <f aca="false">INDEX(Stores!$B$2:$B$13,MATCH(B46,Stores!$A$2:$A$13,0))</f>
        <v>Zomato - Chennai Store</v>
      </c>
      <c r="N46" s="6" t="str">
        <f aca="false">INDEX(StoresTbl[City],MATCH(B46,StoresTbl[Store ID],0))</f>
        <v>Chennai</v>
      </c>
      <c r="O46" s="6" t="str">
        <f aca="false">IF(K46="","Not Rated",IF(K46&gt;=4.5,"Excellent",IF(K46&gt;=3.5,"Good",IF(K46&gt;=2.5,"Average","Poor"))))</f>
        <v>Good</v>
      </c>
      <c r="P46" s="6" t="str">
        <f aca="false">IF(AND(F46&gt;=3,H46&gt;=0.1),"Bulk &amp; Discounted",IF(OR(F46&gt;=5,I46&gt;800),"Large Order","Standard Order"))</f>
        <v>Large Order</v>
      </c>
      <c r="Q46" s="6" t="n">
        <f aca="false">IFERROR(G46/K46,"No Rating Yet")</f>
        <v>85.1219512195122</v>
      </c>
    </row>
    <row r="47" customFormat="false" ht="15" hidden="false" customHeight="false" outlineLevel="0" collapsed="false">
      <c r="A47" s="2" t="s">
        <v>90</v>
      </c>
      <c r="B47" s="2" t="s">
        <v>45</v>
      </c>
      <c r="C47" s="3" t="n">
        <v>45791</v>
      </c>
      <c r="D47" s="2" t="s">
        <v>35</v>
      </c>
      <c r="E47" s="2" t="s">
        <v>20</v>
      </c>
      <c r="F47" s="2" t="n">
        <v>3</v>
      </c>
      <c r="G47" s="4" t="n">
        <v>249</v>
      </c>
      <c r="H47" s="5" t="n">
        <v>0</v>
      </c>
      <c r="I47" s="4" t="n">
        <f aca="false">F47*G47*(1-H47)</f>
        <v>747</v>
      </c>
      <c r="J47" s="2" t="n">
        <v>36</v>
      </c>
      <c r="K47" s="2" t="n">
        <v>4</v>
      </c>
      <c r="L47" s="2" t="s">
        <v>28</v>
      </c>
      <c r="M47" s="6" t="str">
        <f aca="false">INDEX(Stores!$B$2:$B$13,MATCH(B47,Stores!$A$2:$A$13,0))</f>
        <v>Zomato - Mumbai Store</v>
      </c>
      <c r="N47" s="6" t="str">
        <f aca="false">INDEX(StoresTbl[City],MATCH(B47,StoresTbl[Store ID],0))</f>
        <v>Mumbai</v>
      </c>
      <c r="O47" s="6" t="str">
        <f aca="false">IF(K47="","Not Rated",IF(K47&gt;=4.5,"Excellent",IF(K47&gt;=3.5,"Good",IF(K47&gt;=2.5,"Average","Poor"))))</f>
        <v>Good</v>
      </c>
      <c r="P47" s="6" t="str">
        <f aca="false">IF(AND(F47&gt;=3,H47&gt;=0.1),"Bulk &amp; Discounted",IF(OR(F47&gt;=5,I47&gt;800),"Large Order","Standard Order"))</f>
        <v>Standard Order</v>
      </c>
      <c r="Q47" s="6" t="n">
        <f aca="false">IFERROR(G47/K47,"No Rating Yet")</f>
        <v>62.25</v>
      </c>
    </row>
    <row r="48" customFormat="false" ht="15" hidden="false" customHeight="false" outlineLevel="0" collapsed="false">
      <c r="A48" s="2" t="s">
        <v>91</v>
      </c>
      <c r="B48" s="2" t="s">
        <v>23</v>
      </c>
      <c r="C48" s="3" t="n">
        <v>45734</v>
      </c>
      <c r="D48" s="2" t="s">
        <v>35</v>
      </c>
      <c r="E48" s="2" t="s">
        <v>32</v>
      </c>
      <c r="F48" s="2" t="n">
        <v>6</v>
      </c>
      <c r="G48" s="4" t="n">
        <v>249</v>
      </c>
      <c r="H48" s="5" t="n">
        <v>0.1</v>
      </c>
      <c r="I48" s="4" t="n">
        <f aca="false">F48*G48*(1-H48)</f>
        <v>1344.6</v>
      </c>
      <c r="J48" s="2" t="n">
        <v>40</v>
      </c>
      <c r="K48" s="2" t="n">
        <v>3.7</v>
      </c>
      <c r="L48" s="2" t="s">
        <v>28</v>
      </c>
      <c r="M48" s="6" t="str">
        <f aca="false">INDEX(Stores!$B$2:$B$13,MATCH(B48,Stores!$A$2:$A$13,0))</f>
        <v>Zomato - Delhi Store</v>
      </c>
      <c r="N48" s="6" t="str">
        <f aca="false">INDEX(StoresTbl[City],MATCH(B48,StoresTbl[Store ID],0))</f>
        <v>Delhi</v>
      </c>
      <c r="O48" s="6" t="str">
        <f aca="false">IF(K48="","Not Rated",IF(K48&gt;=4.5,"Excellent",IF(K48&gt;=3.5,"Good",IF(K48&gt;=2.5,"Average","Poor"))))</f>
        <v>Good</v>
      </c>
      <c r="P48" s="6" t="str">
        <f aca="false">IF(AND(F48&gt;=3,H48&gt;=0.1),"Bulk &amp; Discounted",IF(OR(F48&gt;=5,I48&gt;800),"Large Order","Standard Order"))</f>
        <v>Bulk &amp; Discounted</v>
      </c>
      <c r="Q48" s="6" t="n">
        <f aca="false">IFERROR(G48/K48,"No Rating Yet")</f>
        <v>67.2972972972973</v>
      </c>
    </row>
    <row r="49" customFormat="false" ht="15" hidden="false" customHeight="false" outlineLevel="0" collapsed="false">
      <c r="A49" s="2" t="s">
        <v>92</v>
      </c>
      <c r="B49" s="2" t="s">
        <v>42</v>
      </c>
      <c r="C49" s="3" t="n">
        <v>45765</v>
      </c>
      <c r="D49" s="2" t="s">
        <v>49</v>
      </c>
      <c r="E49" s="2" t="s">
        <v>20</v>
      </c>
      <c r="F49" s="2" t="n">
        <v>5</v>
      </c>
      <c r="G49" s="4" t="n">
        <v>349</v>
      </c>
      <c r="H49" s="5" t="n">
        <v>0.1</v>
      </c>
      <c r="I49" s="4" t="n">
        <f aca="false">F49*G49*(1-H49)</f>
        <v>1570.5</v>
      </c>
      <c r="J49" s="2" t="n">
        <v>40</v>
      </c>
      <c r="K49" s="2"/>
      <c r="L49" s="2" t="s">
        <v>50</v>
      </c>
      <c r="M49" s="6" t="str">
        <f aca="false">INDEX(Stores!$B$2:$B$13,MATCH(B49,Stores!$A$2:$A$13,0))</f>
        <v>Zomato - Pune Store</v>
      </c>
      <c r="N49" s="6" t="str">
        <f aca="false">INDEX(StoresTbl[City],MATCH(B49,StoresTbl[Store ID],0))</f>
        <v>Pune</v>
      </c>
      <c r="O49" s="6" t="str">
        <f aca="false">IF(K49="","Not Rated",IF(K49&gt;=4.5,"Excellent",IF(K49&gt;=3.5,"Good",IF(K49&gt;=2.5,"Average","Poor"))))</f>
        <v>Not Rated</v>
      </c>
      <c r="P49" s="6" t="str">
        <f aca="false">IF(AND(F49&gt;=3,H49&gt;=0.1),"Bulk &amp; Discounted",IF(OR(F49&gt;=5,I49&gt;800),"Large Order","Standard Order"))</f>
        <v>Bulk &amp; Discounted</v>
      </c>
      <c r="Q49" s="6" t="str">
        <f aca="false">IFERROR(G49/K49,"No Rating Yet")</f>
        <v>No Rating Yet</v>
      </c>
    </row>
    <row r="50" customFormat="false" ht="15" hidden="false" customHeight="false" outlineLevel="0" collapsed="false">
      <c r="A50" s="2" t="s">
        <v>93</v>
      </c>
      <c r="B50" s="2" t="s">
        <v>18</v>
      </c>
      <c r="C50" s="3" t="n">
        <v>45731</v>
      </c>
      <c r="D50" s="2" t="s">
        <v>19</v>
      </c>
      <c r="E50" s="2" t="s">
        <v>32</v>
      </c>
      <c r="F50" s="2" t="n">
        <v>5</v>
      </c>
      <c r="G50" s="4" t="n">
        <v>349</v>
      </c>
      <c r="H50" s="5" t="n">
        <v>0.1</v>
      </c>
      <c r="I50" s="4" t="n">
        <f aca="false">F50*G50*(1-H50)</f>
        <v>1570.5</v>
      </c>
      <c r="J50" s="2" t="n">
        <v>44</v>
      </c>
      <c r="K50" s="2" t="n">
        <v>3.3</v>
      </c>
      <c r="L50" s="2" t="s">
        <v>21</v>
      </c>
      <c r="M50" s="6" t="str">
        <f aca="false">INDEX(Stores!$B$2:$B$13,MATCH(B50,Stores!$A$2:$A$13,0))</f>
        <v>Zomato - Hyderabad Store</v>
      </c>
      <c r="N50" s="6" t="str">
        <f aca="false">INDEX(StoresTbl[City],MATCH(B50,StoresTbl[Store ID],0))</f>
        <v>Hyderabad</v>
      </c>
      <c r="O50" s="6" t="str">
        <f aca="false">IF(K50="","Not Rated",IF(K50&gt;=4.5,"Excellent",IF(K50&gt;=3.5,"Good",IF(K50&gt;=2.5,"Average","Poor"))))</f>
        <v>Average</v>
      </c>
      <c r="P50" s="6" t="str">
        <f aca="false">IF(AND(F50&gt;=3,H50&gt;=0.1),"Bulk &amp; Discounted",IF(OR(F50&gt;=5,I50&gt;800),"Large Order","Standard Order"))</f>
        <v>Bulk &amp; Discounted</v>
      </c>
      <c r="Q50" s="6" t="n">
        <f aca="false">IFERROR(G50/K50,"No Rating Yet")</f>
        <v>105.757575757576</v>
      </c>
    </row>
    <row r="51" customFormat="false" ht="15" hidden="false" customHeight="false" outlineLevel="0" collapsed="false">
      <c r="A51" s="2" t="s">
        <v>94</v>
      </c>
      <c r="B51" s="2" t="s">
        <v>42</v>
      </c>
      <c r="C51" s="3" t="n">
        <v>45788</v>
      </c>
      <c r="D51" s="2" t="s">
        <v>43</v>
      </c>
      <c r="E51" s="2" t="s">
        <v>20</v>
      </c>
      <c r="F51" s="2" t="n">
        <v>6</v>
      </c>
      <c r="G51" s="4" t="n">
        <v>129</v>
      </c>
      <c r="H51" s="5" t="n">
        <v>0.1</v>
      </c>
      <c r="I51" s="4" t="n">
        <f aca="false">F51*G51*(1-H51)</f>
        <v>696.6</v>
      </c>
      <c r="J51" s="2" t="n">
        <v>47</v>
      </c>
      <c r="K51" s="2" t="n">
        <v>2.3</v>
      </c>
      <c r="L51" s="2" t="s">
        <v>28</v>
      </c>
      <c r="M51" s="6" t="str">
        <f aca="false">INDEX(Stores!$B$2:$B$13,MATCH(B51,Stores!$A$2:$A$13,0))</f>
        <v>Zomato - Pune Store</v>
      </c>
      <c r="N51" s="6" t="str">
        <f aca="false">INDEX(StoresTbl[City],MATCH(B51,StoresTbl[Store ID],0))</f>
        <v>Pune</v>
      </c>
      <c r="O51" s="6" t="str">
        <f aca="false">IF(K51="","Not Rated",IF(K51&gt;=4.5,"Excellent",IF(K51&gt;=3.5,"Good",IF(K51&gt;=2.5,"Average","Poor"))))</f>
        <v>Poor</v>
      </c>
      <c r="P51" s="6" t="str">
        <f aca="false">IF(AND(F51&gt;=3,H51&gt;=0.1),"Bulk &amp; Discounted",IF(OR(F51&gt;=5,I51&gt;800),"Large Order","Standard Order"))</f>
        <v>Bulk &amp; Discounted</v>
      </c>
      <c r="Q51" s="6" t="n">
        <f aca="false">IFERROR(G51/K51,"No Rating Yet")</f>
        <v>56.0869565217391</v>
      </c>
    </row>
    <row r="54" customFormat="false" ht="21.75" hidden="false" customHeight="true" outlineLevel="0" collapsed="false">
      <c r="A54" s="7" t="s">
        <v>95</v>
      </c>
      <c r="B54" s="7"/>
      <c r="C54" s="7"/>
      <c r="D54" s="7"/>
      <c r="E54" s="7"/>
      <c r="F54" s="7"/>
      <c r="G54" s="7"/>
    </row>
    <row r="56" customFormat="false" ht="15" hidden="false" customHeight="false" outlineLevel="0" collapsed="false">
      <c r="A56" s="8" t="s">
        <v>96</v>
      </c>
      <c r="B56" s="8"/>
      <c r="C56" s="8"/>
      <c r="D56" s="8"/>
      <c r="E56" s="8"/>
      <c r="F56" s="8"/>
      <c r="G56" s="8"/>
    </row>
    <row r="57" customFormat="false" ht="23.85" hidden="false" customHeight="true" outlineLevel="0" collapsed="false">
      <c r="A57" s="9" t="s">
        <v>97</v>
      </c>
      <c r="B57" s="9"/>
      <c r="C57" s="9"/>
      <c r="D57" s="9"/>
      <c r="E57" s="9"/>
      <c r="F57" s="9"/>
      <c r="G57" s="9"/>
    </row>
    <row r="59" customFormat="false" ht="26.85" hidden="false" customHeight="true" outlineLevel="0" collapsed="false">
      <c r="A59" s="1" t="s">
        <v>98</v>
      </c>
      <c r="B59" s="1"/>
      <c r="C59" s="1" t="s">
        <v>99</v>
      </c>
      <c r="D59" s="1" t="s">
        <v>100</v>
      </c>
      <c r="E59" s="1"/>
      <c r="F59" s="1" t="s">
        <v>101</v>
      </c>
    </row>
    <row r="60" customFormat="false" ht="15" hidden="false" customHeight="false" outlineLevel="0" collapsed="false">
      <c r="A60" s="2" t="s">
        <v>102</v>
      </c>
      <c r="B60" s="2"/>
      <c r="C60" s="2" t="s">
        <v>103</v>
      </c>
      <c r="D60" s="10" t="s">
        <v>104</v>
      </c>
      <c r="E60" s="10"/>
      <c r="F60" s="11" t="n">
        <f aca="false">SUM(I2:I51)</f>
        <v>41494.05</v>
      </c>
    </row>
    <row r="61" customFormat="false" ht="15" hidden="false" customHeight="false" outlineLevel="0" collapsed="false">
      <c r="A61" s="2" t="s">
        <v>102</v>
      </c>
      <c r="B61" s="2"/>
      <c r="C61" s="2" t="s">
        <v>105</v>
      </c>
      <c r="D61" s="10" t="s">
        <v>106</v>
      </c>
      <c r="E61" s="10"/>
      <c r="F61" s="11" t="n">
        <f aca="false">SUM(ZomatoSalesTbl[Sales Amount])</f>
        <v>41494.05</v>
      </c>
    </row>
    <row r="62" customFormat="false" ht="15" hidden="false" customHeight="false" outlineLevel="0" collapsed="false">
      <c r="A62" s="2" t="s">
        <v>107</v>
      </c>
      <c r="B62" s="2"/>
      <c r="C62" s="2" t="s">
        <v>103</v>
      </c>
      <c r="D62" s="10" t="s">
        <v>108</v>
      </c>
      <c r="E62" s="10"/>
      <c r="F62" s="12" t="n">
        <f aca="false">AVERAGE(F2:F51)</f>
        <v>3.8</v>
      </c>
    </row>
    <row r="63" customFormat="false" ht="15" hidden="false" customHeight="false" outlineLevel="0" collapsed="false">
      <c r="A63" s="2" t="s">
        <v>107</v>
      </c>
      <c r="B63" s="2"/>
      <c r="C63" s="2" t="s">
        <v>105</v>
      </c>
      <c r="D63" s="10" t="s">
        <v>109</v>
      </c>
      <c r="E63" s="10"/>
      <c r="F63" s="12" t="n">
        <f aca="false">AVERAGE(ZomatoSalesTbl[Quantity])</f>
        <v>3.8</v>
      </c>
    </row>
    <row r="65" customFormat="false" ht="15" hidden="false" customHeight="false" outlineLevel="0" collapsed="false">
      <c r="A65" s="8" t="s">
        <v>110</v>
      </c>
      <c r="B65" s="8"/>
      <c r="C65" s="8"/>
      <c r="D65" s="8"/>
      <c r="E65" s="8"/>
      <c r="F65" s="8"/>
      <c r="G65" s="8"/>
    </row>
    <row r="66" customFormat="false" ht="15" hidden="false" customHeight="true" outlineLevel="0" collapsed="false">
      <c r="A66" s="1" t="s">
        <v>98</v>
      </c>
      <c r="B66" s="1"/>
      <c r="C66" s="1"/>
      <c r="D66" s="1" t="s">
        <v>100</v>
      </c>
      <c r="E66" s="1"/>
      <c r="F66" s="1" t="s">
        <v>101</v>
      </c>
    </row>
    <row r="67" customFormat="false" ht="15" hidden="false" customHeight="false" outlineLevel="0" collapsed="false">
      <c r="A67" s="2" t="s">
        <v>111</v>
      </c>
      <c r="B67" s="2"/>
      <c r="C67" s="2"/>
      <c r="D67" s="10" t="s">
        <v>112</v>
      </c>
      <c r="E67" s="10"/>
      <c r="F67" s="13" t="n">
        <f aca="false">COUNT(K2:K51)</f>
        <v>46</v>
      </c>
    </row>
    <row r="68" customFormat="false" ht="15" hidden="false" customHeight="false" outlineLevel="0" collapsed="false">
      <c r="A68" s="2" t="s">
        <v>113</v>
      </c>
      <c r="B68" s="2"/>
      <c r="C68" s="2"/>
      <c r="D68" s="10" t="s">
        <v>114</v>
      </c>
      <c r="E68" s="10"/>
      <c r="F68" s="13" t="n">
        <f aca="false">COUNTA(A2:A51)</f>
        <v>50</v>
      </c>
    </row>
    <row r="69" customFormat="false" ht="15" hidden="false" customHeight="false" outlineLevel="0" collapsed="false">
      <c r="A69" s="2" t="s">
        <v>115</v>
      </c>
      <c r="B69" s="2"/>
      <c r="C69" s="2"/>
      <c r="D69" s="10" t="s">
        <v>116</v>
      </c>
      <c r="E69" s="10"/>
      <c r="F69" s="13" t="n">
        <f aca="false">COUNTBLANK(K2:K51)</f>
        <v>4</v>
      </c>
    </row>
    <row r="70" customFormat="false" ht="15" hidden="false" customHeight="false" outlineLevel="0" collapsed="false">
      <c r="A70" s="2" t="s">
        <v>117</v>
      </c>
      <c r="B70" s="2"/>
      <c r="C70" s="2"/>
      <c r="D70" s="10" t="s">
        <v>118</v>
      </c>
      <c r="E70" s="10"/>
      <c r="F70" s="13" t="n">
        <f aca="false">COUNTIF(E2:E51,"Veg")</f>
        <v>29</v>
      </c>
    </row>
    <row r="71" customFormat="false" ht="15" hidden="false" customHeight="false" outlineLevel="0" collapsed="false">
      <c r="A71" s="2" t="s">
        <v>119</v>
      </c>
      <c r="B71" s="2"/>
      <c r="C71" s="2"/>
      <c r="D71" s="10" t="s">
        <v>120</v>
      </c>
      <c r="E71" s="10"/>
      <c r="F71" s="13" t="n">
        <f aca="false">COUNTIFS(E2:E51,"Veg",L2:L51,"UPI")</f>
        <v>8</v>
      </c>
    </row>
    <row r="73" customFormat="false" ht="15" hidden="false" customHeight="false" outlineLevel="0" collapsed="false">
      <c r="A73" s="8" t="s">
        <v>121</v>
      </c>
      <c r="B73" s="8"/>
      <c r="C73" s="8"/>
      <c r="D73" s="8"/>
      <c r="E73" s="8"/>
      <c r="F73" s="8"/>
      <c r="G73" s="8"/>
    </row>
    <row r="74" customFormat="false" ht="35.05" hidden="false" customHeight="true" outlineLevel="0" collapsed="false">
      <c r="A74" s="9" t="s">
        <v>122</v>
      </c>
      <c r="B74" s="9"/>
      <c r="C74" s="9"/>
      <c r="D74" s="9"/>
      <c r="E74" s="9"/>
      <c r="F74" s="9"/>
      <c r="G74" s="9"/>
    </row>
    <row r="76" customFormat="false" ht="15" hidden="false" customHeight="false" outlineLevel="0" collapsed="false">
      <c r="A76" s="14" t="s">
        <v>123</v>
      </c>
    </row>
    <row r="77" customFormat="false" ht="15" hidden="false" customHeight="false" outlineLevel="0" collapsed="false">
      <c r="A77" s="15" t="s">
        <v>124</v>
      </c>
      <c r="B77" s="16" t="s">
        <v>125</v>
      </c>
      <c r="D77" s="15" t="s">
        <v>126</v>
      </c>
    </row>
    <row r="78" customFormat="false" ht="15" hidden="false" customHeight="false" outlineLevel="0" collapsed="false">
      <c r="D78" s="15" t="s">
        <v>43</v>
      </c>
    </row>
    <row r="79" customFormat="false" ht="15" hidden="false" customHeight="false" outlineLevel="0" collapsed="false">
      <c r="D79" s="15" t="s">
        <v>61</v>
      </c>
    </row>
    <row r="80" customFormat="false" ht="15" hidden="false" customHeight="false" outlineLevel="0" collapsed="false">
      <c r="D80" s="15" t="s">
        <v>40</v>
      </c>
    </row>
    <row r="81" customFormat="false" ht="15" hidden="false" customHeight="false" outlineLevel="0" collapsed="false">
      <c r="D81" s="15" t="s">
        <v>71</v>
      </c>
    </row>
    <row r="82" customFormat="false" ht="15" hidden="false" customHeight="false" outlineLevel="0" collapsed="false">
      <c r="D82" s="15" t="s">
        <v>49</v>
      </c>
    </row>
    <row r="83" customFormat="false" ht="15" hidden="false" customHeight="false" outlineLevel="0" collapsed="false">
      <c r="D83" s="15" t="s">
        <v>27</v>
      </c>
    </row>
    <row r="84" customFormat="false" ht="15" hidden="false" customHeight="false" outlineLevel="0" collapsed="false">
      <c r="D84" s="15" t="s">
        <v>19</v>
      </c>
    </row>
    <row r="85" customFormat="false" ht="15" hidden="false" customHeight="false" outlineLevel="0" collapsed="false">
      <c r="D85" s="15" t="s">
        <v>35</v>
      </c>
    </row>
    <row r="86" customFormat="false" ht="15" hidden="false" customHeight="false" outlineLevel="0" collapsed="false">
      <c r="D86" s="15" t="s">
        <v>37</v>
      </c>
    </row>
    <row r="87" customFormat="false" ht="15" hidden="false" customHeight="false" outlineLevel="0" collapsed="false">
      <c r="D87" s="15" t="s">
        <v>31</v>
      </c>
    </row>
    <row r="89" customFormat="false" ht="15" hidden="false" customHeight="false" outlineLevel="0" collapsed="false">
      <c r="A89" s="15" t="s">
        <v>124</v>
      </c>
      <c r="B89" s="16" t="s">
        <v>127</v>
      </c>
      <c r="D89" s="15" t="s">
        <v>128</v>
      </c>
    </row>
    <row r="90" customFormat="false" ht="15" hidden="false" customHeight="false" outlineLevel="0" collapsed="false">
      <c r="D90" s="15" t="s">
        <v>24</v>
      </c>
    </row>
    <row r="91" customFormat="false" ht="15" hidden="false" customHeight="false" outlineLevel="0" collapsed="false">
      <c r="D91" s="15" t="s">
        <v>28</v>
      </c>
    </row>
    <row r="92" customFormat="false" ht="15" hidden="false" customHeight="false" outlineLevel="0" collapsed="false">
      <c r="D92" s="15" t="s">
        <v>50</v>
      </c>
    </row>
    <row r="93" customFormat="false" ht="15" hidden="false" customHeight="false" outlineLevel="0" collapsed="false">
      <c r="D93" s="15" t="s">
        <v>21</v>
      </c>
    </row>
    <row r="95" customFormat="false" ht="15" hidden="false" customHeight="false" outlineLevel="0" collapsed="false">
      <c r="A95" s="8" t="s">
        <v>129</v>
      </c>
      <c r="B95" s="8"/>
      <c r="C95" s="8"/>
      <c r="D95" s="8"/>
      <c r="E95" s="8"/>
      <c r="F95" s="8"/>
      <c r="G95" s="8"/>
    </row>
    <row r="96" customFormat="false" ht="23.85" hidden="false" customHeight="true" outlineLevel="0" collapsed="false">
      <c r="A96" s="9" t="s">
        <v>130</v>
      </c>
      <c r="B96" s="9"/>
      <c r="C96" s="9"/>
      <c r="D96" s="9"/>
      <c r="E96" s="9"/>
      <c r="F96" s="9"/>
      <c r="G96" s="9"/>
    </row>
    <row r="98" customFormat="false" ht="15" hidden="false" customHeight="false" outlineLevel="0" collapsed="false">
      <c r="A98" s="2" t="s">
        <v>131</v>
      </c>
      <c r="B98" s="2"/>
      <c r="C98" s="2"/>
      <c r="D98" s="10" t="s">
        <v>132</v>
      </c>
      <c r="E98" s="10"/>
      <c r="F98" s="13" t="str">
        <f aca="false">IF(AND(COUNTIF(E2:E51,"Veg")&gt;COUNTIF(E2:E51,"Non-Veg"),AVERAGE(K2:K51)&gt;=4),"Veg-Favored &amp; Well Rated","Mixed Performance")</f>
        <v>Mixed Performance</v>
      </c>
    </row>
    <row r="100" customFormat="false" ht="15" hidden="false" customHeight="false" outlineLevel="0" collapsed="false">
      <c r="A100" s="8" t="s">
        <v>133</v>
      </c>
      <c r="B100" s="8"/>
      <c r="C100" s="8"/>
      <c r="D100" s="8"/>
      <c r="E100" s="8"/>
      <c r="F100" s="8"/>
      <c r="G100" s="8"/>
    </row>
    <row r="101" customFormat="false" ht="35.05" hidden="false" customHeight="true" outlineLevel="0" collapsed="false">
      <c r="A101" s="9" t="s">
        <v>134</v>
      </c>
      <c r="B101" s="9"/>
      <c r="C101" s="9"/>
      <c r="D101" s="9"/>
      <c r="E101" s="9"/>
      <c r="F101" s="9"/>
      <c r="G101" s="9"/>
    </row>
    <row r="103" customFormat="false" ht="15" hidden="false" customHeight="false" outlineLevel="0" collapsed="false">
      <c r="A103" s="15" t="s">
        <v>135</v>
      </c>
      <c r="C103" s="16" t="s">
        <v>136</v>
      </c>
    </row>
    <row r="104" customFormat="false" ht="15" hidden="false" customHeight="false" outlineLevel="0" collapsed="false">
      <c r="A104" s="14" t="s">
        <v>137</v>
      </c>
    </row>
    <row r="105" customFormat="false" ht="26.85" hidden="false" customHeight="false" outlineLevel="0" collapsed="false">
      <c r="A105" s="1" t="s">
        <v>3</v>
      </c>
      <c r="B105" s="1" t="s">
        <v>138</v>
      </c>
      <c r="C105" s="1" t="s">
        <v>139</v>
      </c>
    </row>
    <row r="106" customFormat="false" ht="15" hidden="false" customHeight="false" outlineLevel="0" collapsed="false">
      <c r="A106" s="2" t="s">
        <v>43</v>
      </c>
      <c r="B106" s="4" t="n">
        <f aca="false">SUMIFS(I2:I51,D2:D51,A106)</f>
        <v>2456.95</v>
      </c>
      <c r="C106" s="2" t="n">
        <f aca="false">COUNTIF(D2:D51,A106)</f>
        <v>4</v>
      </c>
    </row>
    <row r="107" customFormat="false" ht="15" hidden="false" customHeight="false" outlineLevel="0" collapsed="false">
      <c r="A107" s="2" t="s">
        <v>61</v>
      </c>
      <c r="B107" s="4" t="n">
        <f aca="false">SUMIFS(I2:I51,D2:D51,A107)</f>
        <v>3574.85</v>
      </c>
      <c r="C107" s="2" t="n">
        <f aca="false">COUNTIF(D2:D51,A107)</f>
        <v>2</v>
      </c>
    </row>
    <row r="108" customFormat="false" ht="15" hidden="false" customHeight="false" outlineLevel="0" collapsed="false">
      <c r="A108" s="2" t="s">
        <v>40</v>
      </c>
      <c r="B108" s="4" t="n">
        <f aca="false">SUMIFS(I2:I51,D2:D51,A108)</f>
        <v>4373.15</v>
      </c>
      <c r="C108" s="2" t="n">
        <f aca="false">COUNTIF(D2:D51,A108)</f>
        <v>7</v>
      </c>
    </row>
    <row r="109" customFormat="false" ht="15" hidden="false" customHeight="false" outlineLevel="0" collapsed="false">
      <c r="A109" s="2" t="s">
        <v>71</v>
      </c>
      <c r="B109" s="4" t="n">
        <f aca="false">SUMIFS(I2:I51,D2:D51,A109)</f>
        <v>3332.95</v>
      </c>
      <c r="C109" s="2" t="n">
        <f aca="false">COUNTIF(D2:D51,A109)</f>
        <v>4</v>
      </c>
    </row>
    <row r="110" customFormat="false" ht="15" hidden="false" customHeight="false" outlineLevel="0" collapsed="false">
      <c r="A110" s="2" t="s">
        <v>49</v>
      </c>
      <c r="B110" s="4" t="n">
        <f aca="false">SUMIFS(I2:I51,D2:D51,A110)</f>
        <v>2700.75</v>
      </c>
      <c r="C110" s="2" t="n">
        <f aca="false">COUNTIF(D2:D51,A110)</f>
        <v>5</v>
      </c>
    </row>
    <row r="111" customFormat="false" ht="15" hidden="false" customHeight="false" outlineLevel="0" collapsed="false">
      <c r="A111" s="2" t="s">
        <v>27</v>
      </c>
      <c r="B111" s="4" t="n">
        <f aca="false">SUMIFS(I2:I51,D2:D51,A111)</f>
        <v>2260.3</v>
      </c>
      <c r="C111" s="2" t="n">
        <f aca="false">COUNTIF(D2:D51,A111)</f>
        <v>2</v>
      </c>
    </row>
    <row r="112" customFormat="false" ht="15" hidden="false" customHeight="false" outlineLevel="0" collapsed="false">
      <c r="A112" s="2" t="s">
        <v>19</v>
      </c>
      <c r="B112" s="4" t="n">
        <f aca="false">SUMIFS(I2:I51,D2:D51,A112)</f>
        <v>6452.6</v>
      </c>
      <c r="C112" s="2" t="n">
        <f aca="false">COUNTIF(D2:D51,A112)</f>
        <v>6</v>
      </c>
    </row>
    <row r="113" customFormat="false" ht="15" hidden="false" customHeight="false" outlineLevel="0" collapsed="false">
      <c r="A113" s="2" t="s">
        <v>35</v>
      </c>
      <c r="B113" s="4" t="n">
        <f aca="false">SUMIFS(I2:I51,D2:D51,A113)</f>
        <v>7347.95</v>
      </c>
      <c r="C113" s="2" t="n">
        <f aca="false">COUNTIF(D2:D51,A113)</f>
        <v>7</v>
      </c>
    </row>
    <row r="114" customFormat="false" ht="15" hidden="false" customHeight="false" outlineLevel="0" collapsed="false">
      <c r="A114" s="2" t="s">
        <v>37</v>
      </c>
      <c r="B114" s="4" t="n">
        <f aca="false">SUMIFS(I2:I51,D2:D51,A114)</f>
        <v>2708.4</v>
      </c>
      <c r="C114" s="2" t="n">
        <f aca="false">COUNTIF(D2:D51,A114)</f>
        <v>6</v>
      </c>
    </row>
    <row r="115" customFormat="false" ht="15" hidden="false" customHeight="false" outlineLevel="0" collapsed="false">
      <c r="A115" s="2" t="s">
        <v>31</v>
      </c>
      <c r="B115" s="4" t="n">
        <f aca="false">SUMIFS(I2:I51,D2:D51,A115)</f>
        <v>6286.15</v>
      </c>
      <c r="C115" s="2" t="n">
        <f aca="false">COUNTIF(D2:D51,A115)</f>
        <v>7</v>
      </c>
    </row>
    <row r="117" customFormat="false" ht="15" hidden="false" customHeight="false" outlineLevel="0" collapsed="false">
      <c r="A117" s="15" t="s">
        <v>140</v>
      </c>
      <c r="C117" s="16" t="s">
        <v>141</v>
      </c>
    </row>
    <row r="118" customFormat="false" ht="15" hidden="false" customHeight="false" outlineLevel="0" collapsed="false">
      <c r="A118" s="14" t="s">
        <v>142</v>
      </c>
    </row>
    <row r="119" customFormat="false" ht="26.85" hidden="false" customHeight="false" outlineLevel="0" collapsed="false">
      <c r="A119" s="1" t="s">
        <v>143</v>
      </c>
      <c r="B119" s="1" t="s">
        <v>138</v>
      </c>
      <c r="C119" s="1" t="s">
        <v>139</v>
      </c>
      <c r="D119" s="1" t="s">
        <v>144</v>
      </c>
    </row>
    <row r="120" customFormat="false" ht="15" hidden="false" customHeight="false" outlineLevel="0" collapsed="false">
      <c r="A120" s="2" t="s">
        <v>145</v>
      </c>
      <c r="B120" s="4" t="n">
        <f aca="false">SUMIFS(I2:I51,M2:M51,A120)</f>
        <v>3632.85</v>
      </c>
      <c r="C120" s="2" t="n">
        <f aca="false">COUNTIF(M2:M51,A120)</f>
        <v>5</v>
      </c>
      <c r="D120" s="17" t="n">
        <f aca="false">IFERROR(AVERAGEIFS(K2:K51,M2:M51,A120),"No Ratings")</f>
        <v>3.24</v>
      </c>
    </row>
    <row r="121" customFormat="false" ht="15" hidden="false" customHeight="false" outlineLevel="0" collapsed="false">
      <c r="A121" s="2" t="s">
        <v>146</v>
      </c>
      <c r="B121" s="4" t="n">
        <f aca="false">SUMIFS(I2:I51,M2:M51,A121)</f>
        <v>3021.65</v>
      </c>
      <c r="C121" s="2" t="n">
        <f aca="false">COUNTIF(M2:M51,A121)</f>
        <v>4</v>
      </c>
      <c r="D121" s="17" t="n">
        <f aca="false">IFERROR(AVERAGEIFS(K2:K51,M2:M51,A121),"No Ratings")</f>
        <v>3.73333333333333</v>
      </c>
    </row>
    <row r="122" customFormat="false" ht="15" hidden="false" customHeight="false" outlineLevel="0" collapsed="false">
      <c r="A122" s="2" t="s">
        <v>147</v>
      </c>
      <c r="B122" s="4" t="n">
        <f aca="false">SUMIFS(I2:I51,M2:M51,A122)</f>
        <v>973.25</v>
      </c>
      <c r="C122" s="2" t="n">
        <f aca="false">COUNTIF(M2:M51,A122)</f>
        <v>1</v>
      </c>
      <c r="D122" s="17" t="n">
        <f aca="false">IFERROR(AVERAGEIFS(K2:K51,M2:M51,A122),"No Ratings")</f>
        <v>4.8</v>
      </c>
    </row>
    <row r="123" customFormat="false" ht="15" hidden="false" customHeight="false" outlineLevel="0" collapsed="false">
      <c r="A123" s="2" t="s">
        <v>148</v>
      </c>
      <c r="B123" s="4" t="n">
        <f aca="false">SUMIFS(I2:I51,M2:M51,A123)</f>
        <v>6313.25</v>
      </c>
      <c r="C123" s="2" t="n">
        <f aca="false">COUNTIF(M2:M51,A123)</f>
        <v>7</v>
      </c>
      <c r="D123" s="17" t="n">
        <f aca="false">IFERROR(AVERAGEIFS(K2:K51,M2:M51,A123),"No Ratings")</f>
        <v>2.96</v>
      </c>
    </row>
    <row r="124" customFormat="false" ht="15" hidden="false" customHeight="false" outlineLevel="0" collapsed="false">
      <c r="A124" s="2" t="s">
        <v>149</v>
      </c>
      <c r="B124" s="4" t="n">
        <f aca="false">SUMIFS(I2:I51,M2:M51,A124)</f>
        <v>5465.4</v>
      </c>
      <c r="C124" s="2" t="n">
        <f aca="false">COUNTIF(M2:M51,A124)</f>
        <v>6</v>
      </c>
      <c r="D124" s="17" t="n">
        <f aca="false">IFERROR(AVERAGEIFS(K2:K51,M2:M51,A124),"No Ratings")</f>
        <v>3.95</v>
      </c>
    </row>
    <row r="125" customFormat="false" ht="15" hidden="false" customHeight="false" outlineLevel="0" collapsed="false">
      <c r="A125" s="2" t="s">
        <v>150</v>
      </c>
      <c r="B125" s="4" t="n">
        <f aca="false">SUMIFS(I2:I51,M2:M51,A125)</f>
        <v>3552.8</v>
      </c>
      <c r="C125" s="2" t="n">
        <f aca="false">COUNTIF(M2:M51,A125)</f>
        <v>3</v>
      </c>
      <c r="D125" s="17" t="n">
        <f aca="false">IFERROR(AVERAGEIFS(K2:K51,M2:M51,A125),"No Ratings")</f>
        <v>4.16666666666667</v>
      </c>
    </row>
    <row r="126" customFormat="false" ht="15" hidden="false" customHeight="false" outlineLevel="0" collapsed="false">
      <c r="A126" s="2" t="s">
        <v>151</v>
      </c>
      <c r="B126" s="4" t="n">
        <f aca="false">SUMIFS(I2:I51,M2:M51,A126)</f>
        <v>2066.3</v>
      </c>
      <c r="C126" s="2" t="n">
        <f aca="false">COUNTIF(M2:M51,A126)</f>
        <v>3</v>
      </c>
      <c r="D126" s="17" t="n">
        <f aca="false">IFERROR(AVERAGEIFS(K2:K51,M2:M51,A126),"No Ratings")</f>
        <v>3.63333333333333</v>
      </c>
    </row>
    <row r="127" customFormat="false" ht="15" hidden="false" customHeight="false" outlineLevel="0" collapsed="false">
      <c r="A127" s="2" t="s">
        <v>152</v>
      </c>
      <c r="B127" s="4" t="n">
        <f aca="false">SUMIFS(I2:I51,M2:M51,A127)</f>
        <v>2985.7</v>
      </c>
      <c r="C127" s="2" t="n">
        <f aca="false">COUNTIF(M2:M51,A127)</f>
        <v>4</v>
      </c>
      <c r="D127" s="17" t="n">
        <f aca="false">IFERROR(AVERAGEIFS(K2:K51,M2:M51,A127),"No Ratings")</f>
        <v>3.9</v>
      </c>
    </row>
    <row r="128" customFormat="false" ht="15" hidden="false" customHeight="false" outlineLevel="0" collapsed="false">
      <c r="A128" s="2" t="s">
        <v>153</v>
      </c>
      <c r="B128" s="4" t="n">
        <f aca="false">SUMIFS(I2:I51,M2:M51,A128)</f>
        <v>4680.25</v>
      </c>
      <c r="C128" s="2" t="n">
        <f aca="false">COUNTIF(M2:M51,A128)</f>
        <v>6</v>
      </c>
      <c r="D128" s="17" t="n">
        <f aca="false">IFERROR(AVERAGEIFS(K2:K51,M2:M51,A128),"No Ratings")</f>
        <v>3.23333333333333</v>
      </c>
    </row>
    <row r="129" customFormat="false" ht="15" hidden="false" customHeight="false" outlineLevel="0" collapsed="false">
      <c r="A129" s="2" t="s">
        <v>154</v>
      </c>
      <c r="B129" s="4" t="n">
        <f aca="false">SUMIFS(I2:I51,M2:M51,A129)</f>
        <v>3278.05</v>
      </c>
      <c r="C129" s="2" t="n">
        <f aca="false">COUNTIF(M2:M51,A129)</f>
        <v>3</v>
      </c>
      <c r="D129" s="17" t="n">
        <f aca="false">IFERROR(AVERAGEIFS(K2:K51,M2:M51,A129),"No Ratings")</f>
        <v>4.03333333333333</v>
      </c>
    </row>
    <row r="130" customFormat="false" ht="15" hidden="false" customHeight="false" outlineLevel="0" collapsed="false">
      <c r="A130" s="2" t="s">
        <v>155</v>
      </c>
      <c r="B130" s="4" t="n">
        <f aca="false">SUMIFS(I2:I51,M2:M51,A130)</f>
        <v>1980.3</v>
      </c>
      <c r="C130" s="2" t="n">
        <f aca="false">COUNTIF(M2:M51,A130)</f>
        <v>2</v>
      </c>
      <c r="D130" s="17" t="n">
        <f aca="false">IFERROR(AVERAGEIFS(K2:K51,M2:M51,A130),"No Ratings")</f>
        <v>3.75</v>
      </c>
    </row>
    <row r="131" customFormat="false" ht="15" hidden="false" customHeight="false" outlineLevel="0" collapsed="false">
      <c r="A131" s="2" t="s">
        <v>156</v>
      </c>
      <c r="B131" s="4" t="n">
        <f aca="false">SUMIFS(I2:I51,M2:M51,A131)</f>
        <v>3544.25</v>
      </c>
      <c r="C131" s="2" t="n">
        <f aca="false">COUNTIF(M2:M51,A131)</f>
        <v>6</v>
      </c>
      <c r="D131" s="17" t="n">
        <f aca="false">IFERROR(AVERAGEIFS(K2:K51,M2:M51,A131),"No Ratings")</f>
        <v>3.22</v>
      </c>
    </row>
  </sheetData>
  <mergeCells count="32">
    <mergeCell ref="A54:G54"/>
    <mergeCell ref="A56:G56"/>
    <mergeCell ref="A57:G57"/>
    <mergeCell ref="A59:B59"/>
    <mergeCell ref="A60:B60"/>
    <mergeCell ref="D60:E60"/>
    <mergeCell ref="A61:B61"/>
    <mergeCell ref="D61:E61"/>
    <mergeCell ref="A62:B62"/>
    <mergeCell ref="D62:E62"/>
    <mergeCell ref="A63:B63"/>
    <mergeCell ref="D63:E63"/>
    <mergeCell ref="A65:G65"/>
    <mergeCell ref="A66:C66"/>
    <mergeCell ref="A67:C67"/>
    <mergeCell ref="D67:E67"/>
    <mergeCell ref="A68:C68"/>
    <mergeCell ref="D68:E68"/>
    <mergeCell ref="A69:C69"/>
    <mergeCell ref="D69:E69"/>
    <mergeCell ref="A70:C70"/>
    <mergeCell ref="D70:E70"/>
    <mergeCell ref="A71:C71"/>
    <mergeCell ref="D71:E71"/>
    <mergeCell ref="A73:G73"/>
    <mergeCell ref="A74:G74"/>
    <mergeCell ref="A95:G95"/>
    <mergeCell ref="A96:G96"/>
    <mergeCell ref="A98:C98"/>
    <mergeCell ref="D98:E98"/>
    <mergeCell ref="A100:G100"/>
    <mergeCell ref="A101:G1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14"/>
    <col collapsed="false" customWidth="true" hidden="false" outlineLevel="0" max="4" min="4" style="0" width="10"/>
    <col collapsed="false" customWidth="true" hidden="false" outlineLevel="0" max="5" min="5" style="0" width="18"/>
    <col collapsed="false" customWidth="true" hidden="false" outlineLevel="0" max="7" min="6" style="0" width="15"/>
  </cols>
  <sheetData>
    <row r="1" customFormat="false" ht="26.85" hidden="false" customHeight="false" outlineLevel="0" collapsed="false">
      <c r="A1" s="1" t="s">
        <v>1</v>
      </c>
      <c r="B1" s="1" t="s">
        <v>143</v>
      </c>
      <c r="C1" s="1" t="s">
        <v>157</v>
      </c>
      <c r="D1" s="1" t="s">
        <v>158</v>
      </c>
      <c r="E1" s="1" t="s">
        <v>159</v>
      </c>
      <c r="F1" s="1" t="s">
        <v>160</v>
      </c>
      <c r="G1" s="1" t="s">
        <v>161</v>
      </c>
    </row>
    <row r="2" customFormat="false" ht="15" hidden="false" customHeight="false" outlineLevel="0" collapsed="false">
      <c r="A2" s="18" t="s">
        <v>45</v>
      </c>
      <c r="B2" s="18" t="s">
        <v>145</v>
      </c>
      <c r="C2" s="18" t="s">
        <v>162</v>
      </c>
      <c r="D2" s="18" t="s">
        <v>163</v>
      </c>
      <c r="E2" s="18" t="s">
        <v>164</v>
      </c>
      <c r="F2" s="18" t="s">
        <v>165</v>
      </c>
      <c r="G2" s="18" t="n">
        <v>2019</v>
      </c>
    </row>
    <row r="3" customFormat="false" ht="15" hidden="false" customHeight="false" outlineLevel="0" collapsed="false">
      <c r="A3" s="18" t="s">
        <v>23</v>
      </c>
      <c r="B3" s="18" t="s">
        <v>146</v>
      </c>
      <c r="C3" s="18" t="s">
        <v>166</v>
      </c>
      <c r="D3" s="18" t="s">
        <v>167</v>
      </c>
      <c r="E3" s="18" t="s">
        <v>168</v>
      </c>
      <c r="F3" s="18" t="s">
        <v>169</v>
      </c>
      <c r="G3" s="18" t="n">
        <v>2020</v>
      </c>
    </row>
    <row r="4" customFormat="false" ht="15" hidden="false" customHeight="false" outlineLevel="0" collapsed="false">
      <c r="A4" s="18" t="s">
        <v>56</v>
      </c>
      <c r="B4" s="18" t="s">
        <v>147</v>
      </c>
      <c r="C4" s="18" t="s">
        <v>170</v>
      </c>
      <c r="D4" s="18" t="s">
        <v>171</v>
      </c>
      <c r="E4" s="18" t="s">
        <v>172</v>
      </c>
      <c r="F4" s="18" t="s">
        <v>173</v>
      </c>
      <c r="G4" s="18" t="n">
        <v>2021</v>
      </c>
    </row>
    <row r="5" customFormat="false" ht="15" hidden="false" customHeight="false" outlineLevel="0" collapsed="false">
      <c r="A5" s="18" t="s">
        <v>42</v>
      </c>
      <c r="B5" s="18" t="s">
        <v>148</v>
      </c>
      <c r="C5" s="18" t="s">
        <v>174</v>
      </c>
      <c r="D5" s="18" t="s">
        <v>163</v>
      </c>
      <c r="E5" s="18" t="s">
        <v>175</v>
      </c>
      <c r="F5" s="18" t="s">
        <v>165</v>
      </c>
      <c r="G5" s="18" t="n">
        <v>2018</v>
      </c>
    </row>
    <row r="6" customFormat="false" ht="15" hidden="false" customHeight="false" outlineLevel="0" collapsed="false">
      <c r="A6" s="18" t="s">
        <v>18</v>
      </c>
      <c r="B6" s="18" t="s">
        <v>149</v>
      </c>
      <c r="C6" s="18" t="s">
        <v>176</v>
      </c>
      <c r="D6" s="18" t="s">
        <v>171</v>
      </c>
      <c r="E6" s="18" t="s">
        <v>177</v>
      </c>
      <c r="F6" s="18" t="s">
        <v>173</v>
      </c>
      <c r="G6" s="18" t="n">
        <v>2022</v>
      </c>
    </row>
    <row r="7" customFormat="false" ht="15" hidden="false" customHeight="false" outlineLevel="0" collapsed="false">
      <c r="A7" s="18" t="s">
        <v>30</v>
      </c>
      <c r="B7" s="18" t="s">
        <v>150</v>
      </c>
      <c r="C7" s="18" t="s">
        <v>178</v>
      </c>
      <c r="D7" s="18" t="s">
        <v>171</v>
      </c>
      <c r="E7" s="18" t="s">
        <v>179</v>
      </c>
      <c r="F7" s="18" t="s">
        <v>169</v>
      </c>
      <c r="G7" s="18" t="n">
        <v>2020</v>
      </c>
    </row>
    <row r="8" customFormat="false" ht="15" hidden="false" customHeight="false" outlineLevel="0" collapsed="false">
      <c r="A8" s="18" t="s">
        <v>48</v>
      </c>
      <c r="B8" s="18" t="s">
        <v>151</v>
      </c>
      <c r="C8" s="18" t="s">
        <v>180</v>
      </c>
      <c r="D8" s="18" t="s">
        <v>181</v>
      </c>
      <c r="E8" s="18" t="s">
        <v>182</v>
      </c>
      <c r="F8" s="18" t="s">
        <v>165</v>
      </c>
      <c r="G8" s="18" t="n">
        <v>2021</v>
      </c>
    </row>
    <row r="9" customFormat="false" ht="15" hidden="false" customHeight="false" outlineLevel="0" collapsed="false">
      <c r="A9" s="18" t="s">
        <v>26</v>
      </c>
      <c r="B9" s="18" t="s">
        <v>152</v>
      </c>
      <c r="C9" s="18" t="s">
        <v>183</v>
      </c>
      <c r="D9" s="18" t="s">
        <v>163</v>
      </c>
      <c r="E9" s="18" t="s">
        <v>184</v>
      </c>
      <c r="F9" s="18" t="s">
        <v>173</v>
      </c>
      <c r="G9" s="18" t="n">
        <v>2019</v>
      </c>
    </row>
    <row r="10" customFormat="false" ht="15" hidden="false" customHeight="false" outlineLevel="0" collapsed="false">
      <c r="A10" s="18" t="s">
        <v>53</v>
      </c>
      <c r="B10" s="18" t="s">
        <v>153</v>
      </c>
      <c r="C10" s="18" t="s">
        <v>185</v>
      </c>
      <c r="D10" s="18" t="s">
        <v>167</v>
      </c>
      <c r="E10" s="18" t="s">
        <v>186</v>
      </c>
      <c r="F10" s="18" t="s">
        <v>169</v>
      </c>
      <c r="G10" s="18" t="n">
        <v>2023</v>
      </c>
    </row>
    <row r="11" customFormat="false" ht="15" hidden="false" customHeight="false" outlineLevel="0" collapsed="false">
      <c r="A11" s="18" t="s">
        <v>76</v>
      </c>
      <c r="B11" s="18" t="s">
        <v>154</v>
      </c>
      <c r="C11" s="18" t="s">
        <v>187</v>
      </c>
      <c r="D11" s="18" t="s">
        <v>167</v>
      </c>
      <c r="E11" s="18" t="s">
        <v>188</v>
      </c>
      <c r="F11" s="18" t="s">
        <v>165</v>
      </c>
      <c r="G11" s="18" t="n">
        <v>2020</v>
      </c>
    </row>
    <row r="12" customFormat="false" ht="15" hidden="false" customHeight="false" outlineLevel="0" collapsed="false">
      <c r="A12" s="18" t="s">
        <v>39</v>
      </c>
      <c r="B12" s="18" t="s">
        <v>155</v>
      </c>
      <c r="C12" s="18" t="s">
        <v>189</v>
      </c>
      <c r="D12" s="18" t="s">
        <v>167</v>
      </c>
      <c r="E12" s="18" t="s">
        <v>190</v>
      </c>
      <c r="F12" s="18" t="s">
        <v>173</v>
      </c>
      <c r="G12" s="18" t="n">
        <v>2022</v>
      </c>
    </row>
    <row r="13" customFormat="false" ht="15" hidden="false" customHeight="false" outlineLevel="0" collapsed="false">
      <c r="A13" s="18" t="s">
        <v>34</v>
      </c>
      <c r="B13" s="18" t="s">
        <v>156</v>
      </c>
      <c r="C13" s="18" t="s">
        <v>191</v>
      </c>
      <c r="D13" s="18" t="s">
        <v>192</v>
      </c>
      <c r="E13" s="18" t="s">
        <v>193</v>
      </c>
      <c r="F13" s="18" t="s">
        <v>169</v>
      </c>
      <c r="G13" s="18" t="n">
        <v>2018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2026-07-28T11:17:45Z</dcterms:created>
  <dc:creator>openpyxl</dc:creator>
  <dc:description/>
  <dc:language>en-US</dc:language>
  <cp:lastModifiedBy/>
  <dcterms:modified xsi:type="dcterms:W3CDTF">2026-07-28T11:17:45Z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